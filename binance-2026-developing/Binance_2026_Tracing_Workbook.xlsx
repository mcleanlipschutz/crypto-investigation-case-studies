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svg" ContentType="image/svg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be1e37288f4c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80ad53b27c54751"/>
    <x:sheet xmlns:r="http://schemas.openxmlformats.org/officeDocument/2006/relationships" name="Transfers" sheetId="2" r:id="Red2b090943654041"/>
    <x:sheet xmlns:r="http://schemas.openxmlformats.org/officeDocument/2006/relationships" name="Graph Edges" sheetId="3" r:id="R68fb6a6eb3b74e8f"/>
    <x:sheet xmlns:r="http://schemas.openxmlformats.org/officeDocument/2006/relationships" name="Wallets" sheetId="4" r:id="R43766f2914904450"/>
    <x:sheet xmlns:r="http://schemas.openxmlformats.org/officeDocument/2006/relationships" name="Leads" sheetId="5" r:id="Rf576287be4cd43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0"/>
    <x:numFmt numFmtId="202" formatCode="#,##0.000000"/>
    <x:numFmt numFmtId="203" formatCode="yyyy-mm-dd hh:mm:ss"/>
    <x:numFmt numFmtId="204" formatCode="#,##0.0"/>
  </x:numFmts>
  <x:fonts count="6">
    <x:font>
      <x:sz val="11"/>
      <x:name val="Carlito"/>
    </x:font>
    <x:font>
      <x:sz val="10"/>
      <x:color rgb="FF263746"/>
      <x:name val="Arial"/>
    </x:font>
    <x:font>
      <x:b/>
      <x:sz val="16"/>
      <x:color rgb="FF17324D"/>
      <x:name val="Arial"/>
    </x:font>
    <x:font>
      <x:i/>
      <x:sz val="10"/>
      <x:color rgb="FF596B7B"/>
      <x:name val="Arial"/>
    </x:font>
    <x:font>
      <x:b/>
      <x:sz val="10"/>
      <x:color rgb="FFFFFFFF"/>
      <x:name val="Arial"/>
    </x:font>
    <x:font>
      <x:b/>
      <x:sz val="10"/>
      <x:color rgb="FF17324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A"/>
      </x:patternFill>
    </x:fill>
    <x:fill>
      <x:patternFill patternType="solid">
        <x:fgColor rgb="FFFFF1D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647cf91b54e94" /><Relationship Type="http://schemas.openxmlformats.org/officeDocument/2006/relationships/theme" Target="/xl/theme/theme1.xml" Id="Rff0071e878d64a9b" /><Relationship Type="http://schemas.openxmlformats.org/officeDocument/2006/relationships/sharedStrings" Target="/xl/sharedStrings.xml" Id="R6627ed0c5dc3464b" /><Relationship Type="http://schemas.openxmlformats.org/officeDocument/2006/relationships/worksheet" Target="/xl/worksheets/sheet1.xml" Id="Rb80ad53b27c54751" /><Relationship Type="http://schemas.openxmlformats.org/officeDocument/2006/relationships/worksheet" Target="/xl/worksheets/sheet2.xml" Id="Red2b090943654041" /><Relationship Type="http://schemas.openxmlformats.org/officeDocument/2006/relationships/worksheet" Target="/xl/worksheets/sheet3.xml" Id="R68fb6a6eb3b74e8f" /><Relationship Type="http://schemas.openxmlformats.org/officeDocument/2006/relationships/worksheet" Target="/xl/worksheets/sheet4.xml" Id="R43766f2914904450" /><Relationship Type="http://schemas.openxmlformats.org/officeDocument/2006/relationships/worksheet" Target="/xl/worksheets/sheet5.xml" Id="Rf576287be4cd43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svg" Id="R6c030b7d975440ca" /><Relationship Type="http://schemas.openxmlformats.org/officeDocument/2006/relationships/image" Target="/xl/media/image.png" Id="R08e9ef3fb80d4b3d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14</xdr:row>
      <xdr:rowOff>0</xdr:rowOff>
    </xdr:from>
    <xdr:ext cx="10477500" cy="4191000"/>
    <xdr:pic>
      <xdr:nvPicPr>
        <xdr:cNvPr id="1" name="3a9ac419-173d-432b-accb-4f95ea48429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e9ef3fb80d4b3d">
          <a:extLst>
            <a:ext uri="{96DAC541-7B7A-43D3-8B79-37D633B846F1}">
              <asvg:svgBlip xmlns:asvg="http://schemas.microsoft.com/office/drawing/2016/SVG/main" r:embed="R6c030b7d975440ca"/>
            </a:ext>
          </a:extLst>
        </a:blip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TransferEvidence" displayName="TransferEvidence" ref="A5:X105" headerRowCount="1" totalsRowCount="0" totalsRowShown="0">
  <x:autoFilter ref="A5:X105"/>
  <x:tableColumns count="24">
    <x:tableColumn id="1" name="Edge ID"/>
    <x:tableColumn id="2" name="UTC timestamp"/>
    <x:tableColumn id="3" name="Asset"/>
    <x:tableColumn id="4" name="From label"/>
    <x:tableColumn id="5" name="To label"/>
    <x:tableColumn id="6" name="Display quantity (approx.)"/>
    <x:tableColumn id="7" name="Exact quantity (text)"/>
    <x:tableColumn id="8" name="Flow role"/>
    <x:tableColumn id="9" name="Evidence status"/>
    <x:tableColumn id="10" name="Asset contract"/>
    <x:tableColumn id="11" name="Decimals"/>
    <x:tableColumn id="12" name="Raw units (text)"/>
    <x:tableColumn id="13" name="Source address"/>
    <x:tableColumn id="14" name="Target address"/>
    <x:tableColumn id="15" name="Transaction hash"/>
    <x:tableColumn id="16" name="Event key"/>
    <x:tableColumn id="17" name="Block"/>
    <x:tableColumn id="18" name="Transaction sender"/>
    <x:tableColumn id="19" name="Transaction target"/>
    <x:tableColumn id="20" name="Explorer source"/>
    <x:tableColumn id="21" name="Evidence API"/>
    <x:tableColumn id="22" name="Capture ID"/>
    <x:tableColumn id="23" name="Investigator note"/>
    <x:tableColumn id="24" name="Review 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raphEdges" displayName="GraphEdges" ref="A5:L105" headerRowCount="1" totalsRowCount="0" totalsRowShown="0">
  <x:autoFilter ref="A5:L105"/>
  <x:tableColumns count="12">
    <x:tableColumn id="1" name="Source"/>
    <x:tableColumn id="2" name="Target"/>
    <x:tableColumn id="3" name="Type"/>
    <x:tableColumn id="4" name="Id"/>
    <x:tableColumn id="5" name="Label"/>
    <x:tableColumn id="6" name="Asset"/>
    <x:tableColumn id="7" name="Amount (approx.)"/>
    <x:tableColumn id="8" name="Amount exact (text)"/>
    <x:tableColumn id="9" name="Transaction hash"/>
    <x:tableColumn id="10" name="Evidence status"/>
    <x:tableColumn id="11" name="Flow role"/>
    <x:tableColumn id="12" name="Review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WalletNodes" displayName="WalletNodes" ref="A5:G12" headerRowCount="1" totalsRowCount="0" totalsRowShown="0">
  <x:autoFilter ref="A5:G12"/>
  <x:tableColumns count="7">
    <x:tableColumn id="1" name="Id"/>
    <x:tableColumn id="2" name="Label"/>
    <x:tableColumn id="3" name="Address"/>
    <x:tableColumn id="4" name="Chain"/>
    <x:tableColumn id="5" name="Role"/>
    <x:tableColumn id="6" name="Attribution basis"/>
    <x:tableColumn id="7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penLeads" displayName="OpenLeads" ref="A5:J13" headerRowCount="1" totalsRowCount="0" totalsRowShown="0">
  <x:autoFilter ref="A5:J13"/>
  <x:tableColumns count="10">
    <x:tableColumn id="1" name="Lead ID"/>
    <x:tableColumn id="2" name="Category"/>
    <x:tableColumn id="3" name="Subject"/>
    <x:tableColumn id="4" name="Evidence status"/>
    <x:tableColumn id="5" name="Reported quantity"/>
    <x:tableColumn id="6" name="Unit"/>
    <x:tableColumn id="7" name="Related node"/>
    <x:tableColumn id="8" name="Source"/>
    <x:tableColumn id="9" name="Next verification step"/>
    <x:tableColumn id="10" name="Your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f97755896aa4cd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656cd24a20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0f6283120f848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bf9b40485d40c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ded9886f8f450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5" hidden="0" customWidth="1"/>
    <x:col min="2" max="2" width="26" hidden="0" customWidth="1"/>
    <x:col min="3" max="3" width="26" hidden="0" customWidth="1"/>
    <x:col min="4" max="4" width="3" hidden="0" customWidth="1"/>
    <x:col min="5" max="5" width="31" hidden="0" customWidth="1"/>
    <x:col min="6" max="6" width="18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Binance incident — starter trace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 t="str">
        <x:v>Incident: October 29, 2026. Selected Ethereum movements only; no total-loss or current-balance estimate.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2" t="str">
        <x:v>Asset</x:v>
      </x:c>
      <x:c r="B5" s="12" t="str">
        <x:v>Selected initial receipts</x:v>
      </x:c>
      <x:c r="C5" s="12" t="str">
        <x:v>Selected onward transfers</x:v>
      </x:c>
      <x:c r="D5" s="2"/>
      <x:c r="E5" s="16" t="str">
        <x:v>Working rules</x:v>
      </x:c>
      <x:c r="F5" s="2"/>
      <x:c r="G5" s="2"/>
      <x:c r="H5" s="2"/>
      <x:c r="I5" s="2"/>
      <x:c r="J5" s="2"/>
      <x:c r="K5" s="2"/>
      <x:c r="L5" s="2"/>
    </x:row>
    <x:row r="6" ht="24" customHeight="1">
      <x:c r="A6" s="2" t="str">
        <x:v>ETH</x:v>
      </x:c>
      <x:c r="B6" s="7" t="n">
        <x:f>SUMIFS('Transfers'!$F$6:$F$105,'Transfers'!$C$6:$C$105,$A6,'Transfers'!$H$6:$H$105,"Initial receipt",'Transfers'!$X$6:$X$105,"Verified")</x:f>
        <x:v>195469.84785655883</x:v>
      </x:c>
      <x:c r="C6" s="7" t="n">
        <x:f>SUMIFS('Transfers'!$F$6:$F$105,'Transfers'!$C$6:$C$105,$A6,'Transfers'!$H$6:$H$105,"Onward transfer",'Transfers'!$X$6:$X$105,"Verified")</x:f>
        <x:v>195460</x:v>
      </x:c>
      <x:c r="D6" s="2"/>
      <x:c r="E6" s="2" t="str">
        <x:v>Keep raw units and exact quantities as text.</x:v>
      </x:c>
      <x:c r="F6" s="2"/>
      <x:c r="G6" s="2"/>
      <x:c r="H6" s="2"/>
      <x:c r="I6" s="2"/>
      <x:c r="J6" s="2"/>
      <x:c r="K6" s="2"/>
      <x:c r="L6" s="2"/>
    </x:row>
    <x:row r="7" ht="24" customHeight="1">
      <x:c r="A7" s="2" t="str">
        <x:v>USDT</x:v>
      </x:c>
      <x:c r="B7" s="7" t="n">
        <x:f>SUMIFS('Transfers'!$F$6:$F$105,'Transfers'!$C$6:$C$105,$A7,'Transfers'!$H$6:$H$105,"Initial receipt",'Transfers'!$X$6:$X$105,"Verified")</x:f>
        <x:v>1615409498.97324</x:v>
      </x:c>
      <x:c r="C7" s="7" t="n">
        <x:f>SUMIFS('Transfers'!$F$6:$F$105,'Transfers'!$C$6:$C$105,$A7,'Transfers'!$H$6:$H$105,"Onward transfer",'Transfers'!$X$6:$X$105,"Verified")</x:f>
        <x:v>0</x:v>
      </x:c>
      <x:c r="D7" s="2"/>
      <x:c r="E7" s="2" t="str">
        <x:v>Numeric amounts are approximate Excel display values.</x:v>
      </x:c>
      <x:c r="F7" s="2"/>
      <x:c r="G7" s="2"/>
      <x:c r="H7" s="2"/>
      <x:c r="I7" s="2"/>
      <x:c r="J7" s="2"/>
      <x:c r="K7" s="2"/>
      <x:c r="L7" s="2"/>
    </x:row>
    <x:row r="8" ht="24" customHeight="1">
      <x:c r="A8" s="2" t="str">
        <x:v>RLUSD</x:v>
      </x:c>
      <x:c r="B8" s="7" t="n">
        <x:f>SUMIFS('Transfers'!$F$6:$F$105,'Transfers'!$C$6:$C$105,$A8,'Transfers'!$H$6:$H$105,"Initial receipt",'Transfers'!$X$6:$X$105,"Verified")</x:f>
        <x:v>62597239.679797046</x:v>
      </x:c>
      <x:c r="C8" s="7" t="n">
        <x:f>SUMIFS('Transfers'!$F$6:$F$105,'Transfers'!$C$6:$C$105,$A8,'Transfers'!$H$6:$H$105,"Onward transfer",'Transfers'!$X$6:$X$105,"Verified")</x:f>
        <x:v>0</x:v>
      </x:c>
      <x:c r="D8" s="2"/>
      <x:c r="E8" s="2" t="str">
        <x:v>Initial and onward quantities must not be added as loss.</x:v>
      </x:c>
      <x:c r="F8" s="2"/>
      <x:c r="G8" s="2"/>
      <x:c r="H8" s="2"/>
      <x:c r="I8" s="2"/>
      <x:c r="J8" s="2"/>
      <x:c r="K8" s="2"/>
      <x:c r="L8" s="2"/>
    </x:row>
    <x:row r="9" ht="24" customHeight="1">
      <x:c r="A9" s="2" t="str">
        <x:v>USDC</x:v>
      </x:c>
      <x:c r="B9" s="7" t="n">
        <x:f>SUMIFS('Transfers'!$F$6:$F$105,'Transfers'!$C$6:$C$105,$A9,'Transfers'!$H$6:$H$105,"Initial receipt",'Transfers'!$X$6:$X$105,"Verified")</x:f>
        <x:v>780000000</x:v>
      </x:c>
      <x:c r="C9" s="7" t="n">
        <x:f>SUMIFS('Transfers'!$F$6:$F$105,'Transfers'!$C$6:$C$105,$A9,'Transfers'!$H$6:$H$105,"Onward transfer",'Transfers'!$X$6:$X$105,"Verified")</x:f>
        <x:v>0</x:v>
      </x:c>
      <x:c r="D9" s="2"/>
      <x:c r="E9" s="2" t="str">
        <x:v>Freeze reports are tracked separately in Leads.</x:v>
      </x:c>
      <x:c r="F9" s="2"/>
      <x:c r="G9" s="2"/>
      <x:c r="H9" s="2"/>
      <x:c r="I9" s="2"/>
      <x:c r="J9" s="2"/>
      <x:c r="K9" s="2"/>
      <x:c r="L9" s="2"/>
    </x:row>
    <x:row r="10" ht="24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</x:row>
    <x:row r="11" ht="24" customHeight="1">
      <x:c r="A11" s="2" t="str">
        <x:v>Verified movement rows</x:v>
      </x:c>
      <x:c r="B11" s="2" t="n">
        <x:f>COUNTIFS('Transfers'!$X$6:$X$105,"Verified")</x:f>
        <x:v>6</x:v>
      </x:c>
      <x:c r="C11" s="2"/>
      <x:c r="D11" s="2"/>
      <x:c r="E11" s="2"/>
      <x:c r="F11" s="2"/>
      <x:c r="G11" s="2"/>
      <x:c r="H11" s="2"/>
      <x:c r="I11" s="2"/>
      <x:c r="J11" s="2"/>
      <x:c r="K11" s="2"/>
      <x:c r="L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 ht="24" customHeight="1">
      <x:c r="A13" s="4" t="str">
        <x:v>Starter visual snapshot — exact evidence is in Transfers. This picture does not refresh when rows change.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 ht="24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4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4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4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4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 ht="24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 ht="24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 ht="24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 ht="24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 ht="24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 ht="24" customHeight="1">
      <x:c r="A31" s="16" t="str">
        <x:v>Build your graph</x:v>
      </x:c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 ht="24" customHeight="1">
      <x:c r="A32" s="2" t="str">
        <x:v>1. Add evidence in Transfers; keep one row per token log or native transfer.</x:v>
      </x:c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 ht="24" customHeight="1">
      <x:c r="A33" s="2" t="str">
        <x:v>2. Add each new wallet to Wallets with the matching ethereum:address node ID.</x:v>
      </x:c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 ht="24" customHeight="1">
      <x:c r="A34" s="2" t="str">
        <x:v>3. Export nonblank Graph Edges and Wallets as CSV; import nodes first, then directed edges.</x:v>
      </x:c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2" t="str">
        <x:v>4. Filter to Verified records; keep different assets separate and retain transaction hashes.</x:v>
      </x:c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 ht="24" customHeight="1">
      <x:c r="A37" s="2" t="str">
        <x:v>Snapshot evidence retrieval (UTC): 2026-10-30T01:17:17.188956+00:00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 ht="24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 ht="24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 ht="24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</x:sheetData>
  <x:pageMargins left="0.7" right="0.7" top="0.75" bottom="0.75" header="0.3" footer="0.3"/>
  <x:drawing xmlns:r="http://schemas.openxmlformats.org/officeDocument/2006/relationships" r:id="Rbf97755896aa4cda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6" hidden="0" customWidth="1"/>
    <x:col min="3" max="3" width="10" hidden="0" customWidth="1"/>
    <x:col min="4" max="4" width="37" hidden="0" customWidth="1"/>
    <x:col min="5" max="5" width="28" hidden="0" customWidth="1"/>
    <x:col min="6" max="6" width="24" hidden="0" customWidth="1"/>
    <x:col min="7" max="7" width="39" hidden="0" customWidth="1"/>
    <x:col min="8" max="8" width="19" hidden="0" customWidth="1"/>
    <x:col min="9" max="9" width="27" hidden="0" customWidth="1"/>
    <x:col min="10" max="10" width="46" hidden="0" customWidth="1"/>
    <x:col min="11" max="11" width="10" hidden="0" customWidth="1"/>
    <x:col min="12" max="12" width="35" hidden="0" customWidth="1"/>
    <x:col min="13" max="13" width="46" hidden="0" customWidth="1"/>
    <x:col min="14" max="14" width="46" hidden="0" customWidth="1"/>
    <x:col min="15" max="15" width="70" hidden="0" customWidth="1"/>
    <x:col min="16" max="16" width="16" hidden="0" customWidth="1"/>
    <x:col min="17" max="17" width="14" hidden="0" customWidth="1"/>
    <x:col min="18" max="18" width="46" hidden="0" customWidth="1"/>
    <x:col min="19" max="19" width="46" hidden="0" customWidth="1"/>
    <x:col min="20" max="20" width="90" hidden="0" customWidth="1"/>
    <x:col min="21" max="21" width="110" hidden="0" customWidth="1"/>
    <x:col min="22" max="22" width="18" hidden="0" customWidth="1"/>
    <x:col min="23" max="23" width="100" hidden="0" customWidth="1"/>
    <x:col min="24" max="24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24" customHeight="1">
      <x:c r="A2" s="3" t="str">
        <x:v>Transaction evidence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</x:row>
    <x:row r="3" ht="24" customHeight="1">
      <x:c r="A3" s="4" t="str">
        <x:v>Six selected movements. Add new records below; formulas and summary ranges cover rows 6–105.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</x:row>
    <x:row r="5" ht="34" customHeight="1">
      <x:c r="A5" s="12" t="str">
        <x:v>Edge ID</x:v>
      </x:c>
      <x:c r="B5" s="12" t="str">
        <x:v>UTC timestamp</x:v>
      </x:c>
      <x:c r="C5" s="12" t="str">
        <x:v>Asset</x:v>
      </x:c>
      <x:c r="D5" s="12" t="str">
        <x:v>From label</x:v>
      </x:c>
      <x:c r="E5" s="12" t="str">
        <x:v>To label</x:v>
      </x:c>
      <x:c r="F5" s="12" t="str">
        <x:v>Display quantity (approx.)</x:v>
      </x:c>
      <x:c r="G5" s="12" t="str">
        <x:v>Exact quantity (text)</x:v>
      </x:c>
      <x:c r="H5" s="12" t="str">
        <x:v>Flow role</x:v>
      </x:c>
      <x:c r="I5" s="12" t="str">
        <x:v>Evidence status</x:v>
      </x:c>
      <x:c r="J5" s="12" t="str">
        <x:v>Asset contract</x:v>
      </x:c>
      <x:c r="K5" s="12" t="str">
        <x:v>Decimals</x:v>
      </x:c>
      <x:c r="L5" s="12" t="str">
        <x:v>Raw units (text)</x:v>
      </x:c>
      <x:c r="M5" s="12" t="str">
        <x:v>Source address</x:v>
      </x:c>
      <x:c r="N5" s="12" t="str">
        <x:v>Target address</x:v>
      </x:c>
      <x:c r="O5" s="12" t="str">
        <x:v>Transaction hash</x:v>
      </x:c>
      <x:c r="P5" s="12" t="str">
        <x:v>Event key</x:v>
      </x:c>
      <x:c r="Q5" s="12" t="str">
        <x:v>Block</x:v>
      </x:c>
      <x:c r="R5" s="12" t="str">
        <x:v>Transaction sender</x:v>
      </x:c>
      <x:c r="S5" s="12" t="str">
        <x:v>Transaction target</x:v>
      </x:c>
      <x:c r="T5" s="12" t="str">
        <x:v>Explorer source</x:v>
      </x:c>
      <x:c r="U5" s="12" t="str">
        <x:v>Evidence API</x:v>
      </x:c>
      <x:c r="V5" s="12" t="str">
        <x:v>Capture ID</x:v>
      </x:c>
      <x:c r="W5" s="12" t="str">
        <x:v>Investigator note</x:v>
      </x:c>
      <x:c r="X5" s="12" t="str">
        <x:v>Review status</x:v>
      </x:c>
    </x:row>
    <x:row r="6" ht="24" customHeight="1">
      <x:c r="A6" s="5" t="str">
        <x:v>E01</x:v>
      </x:c>
      <x:c r="B6" s="8" t="d">
        <x:v>2026-10-29T20:24:23.000Z</x:v>
      </x:c>
      <x:c r="C6" s="5" t="str">
        <x:v>ETH</x:v>
      </x:c>
      <x:c r="D6" s="5" t="str">
        <x:v>Binance 14 (explorer label)</x:v>
      </x:c>
      <x:c r="E6" s="5" t="str">
        <x:v>Primary receiver</x:v>
      </x:c>
      <x:c r="F6" s="7" t="n">
        <x:f>IF(A6="","",IF(L6="","",VALUE(L6)/10^K6))</x:f>
        <x:v>167464.24785655882</x:v>
      </x:c>
      <x:c r="G6" s="13" t="str">
        <x:v>167464.247856558836135296</x:v>
      </x:c>
      <x:c r="H6" s="5" t="str">
        <x:v>Initial receipt</x:v>
      </x:c>
      <x:c r="I6" s="5" t="str">
        <x:v>Explorer cross-checked</x:v>
      </x:c>
      <x:c r="J6" s="5" t="str">
        <x:v>native</x:v>
      </x:c>
      <x:c r="K6" s="6" t="n">
        <x:v>18</x:v>
      </x:c>
      <x:c r="L6" s="13" t="str">
        <x:v>167464247856558836135296</x:v>
      </x:c>
      <x:c r="M6" s="5" t="str">
        <x:v>0x28c6c06298d514db089934071355e5743bf21d60</x:v>
      </x:c>
      <x:c r="N6" s="5" t="str">
        <x:v>0x5227f603c1ee34ce3c06efe6477003bdfccb2f8c</x:v>
      </x:c>
      <x:c r="O6" s="5" t="str">
        <x:v>0x53bd38b816c23e74134786c29a8c18d792777998a3b9326047b583100e88e2f3</x:v>
      </x:c>
      <x:c r="P6" s="5" t="str">
        <x:v>trace:0</x:v>
      </x:c>
      <x:c r="Q6" s="6" t="n">
        <x:v>26300770</x:v>
      </x:c>
      <x:c r="R6" s="5" t="str">
        <x:v>0x7c8601d4645b93cea45f71e118a729332e6b5ca0</x:v>
      </x:c>
      <x:c r="S6" s="5" t="str">
        <x:v>0x28c6c06298d514db089934071355e5743bf21d60</x:v>
      </x:c>
      <x:c r="T6" s="5" t="str">
        <x:v>https://etherscan.io/tx/0x53bd38b816c23e74134786c29a8c18d792777998a3b9326047b583100e88e2f3</x:v>
      </x:c>
      <x:c r="U6" s="5" t="str">
        <x:v>https://eth.blockscout.com/api/v2/transactions/0x53bd38b816c23e74134786c29a8c18d792777998a3b9326047b583100e88e2f3</x:v>
      </x:c>
      <x:c r="V6" s="5" t="str">
        <x:v>sweep</x:v>
      </x:c>
      <x:c r="W6" s="5" t="str">
        <x:v>Internal ETH transfer; outer transaction value is zero.</x:v>
      </x:c>
      <x:c r="X6" s="5" t="str">
        <x:v>Verified</x:v>
      </x:c>
    </x:row>
    <x:row r="7" ht="24" customHeight="1">
      <x:c r="A7" s="5" t="str">
        <x:v>E02</x:v>
      </x:c>
      <x:c r="B7" s="8" t="d">
        <x:v>2026-10-29T20:24:23.000Z</x:v>
      </x:c>
      <x:c r="C7" s="5" t="str">
        <x:v>USDT</x:v>
      </x:c>
      <x:c r="D7" s="5" t="str">
        <x:v>Binance 14 (explorer label)</x:v>
      </x:c>
      <x:c r="E7" s="5" t="str">
        <x:v>Primary receiver</x:v>
      </x:c>
      <x:c r="F7" s="7" t="n">
        <x:f>IF(A7="","",IF(L7="","",VALUE(L7)/10^K7))</x:f>
        <x:v>1615409498.97324</x:v>
      </x:c>
      <x:c r="G7" s="13" t="str">
        <x:v>1615409498.973240</x:v>
      </x:c>
      <x:c r="H7" s="5" t="str">
        <x:v>Initial receipt</x:v>
      </x:c>
      <x:c r="I7" s="5" t="str">
        <x:v>Explorer cross-checked</x:v>
      </x:c>
      <x:c r="J7" s="5" t="str">
        <x:v>0xdac17f958d2ee523a2206206994597c13d831ec7</x:v>
      </x:c>
      <x:c r="K7" s="6" t="n">
        <x:v>6</x:v>
      </x:c>
      <x:c r="L7" s="13" t="str">
        <x:v>1615409498973240</x:v>
      </x:c>
      <x:c r="M7" s="5" t="str">
        <x:v>0x28c6c06298d514db089934071355e5743bf21d60</x:v>
      </x:c>
      <x:c r="N7" s="5" t="str">
        <x:v>0x5227f603c1ee34ce3c06efe6477003bdfccb2f8c</x:v>
      </x:c>
      <x:c r="O7" s="5" t="str">
        <x:v>0x53bd38b816c23e74134786c29a8c18d792777998a3b9326047b583100e88e2f3</x:v>
      </x:c>
      <x:c r="P7" s="5" t="str">
        <x:v>log:519</x:v>
      </x:c>
      <x:c r="Q7" s="6" t="n">
        <x:v>26300770</x:v>
      </x:c>
      <x:c r="R7" s="5" t="str">
        <x:v>0x7c8601d4645b93cea45f71e118a729332e6b5ca0</x:v>
      </x:c>
      <x:c r="S7" s="5" t="str">
        <x:v>0x28c6c06298d514db089934071355e5743bf21d60</x:v>
      </x:c>
      <x:c r="T7" s="5" t="str">
        <x:v>https://etherscan.io/tx/0x53bd38b816c23e74134786c29a8c18d792777998a3b9326047b583100e88e2f3</x:v>
      </x:c>
      <x:c r="U7" s="5" t="str">
        <x:v>https://eth.blockscout.com/api/v2/transactions/0x53bd38b816c23e74134786c29a8c18d792777998a3b9326047b583100e88e2f3</x:v>
      </x:c>
      <x:c r="V7" s="5" t="str">
        <x:v>sweep</x:v>
      </x:c>
      <x:c r="W7" s="5" t="str">
        <x:v>Selected asset only; other sweep tokens are outside this starter ledger.</x:v>
      </x:c>
      <x:c r="X7" s="5" t="str">
        <x:v>Verified</x:v>
      </x:c>
    </x:row>
    <x:row r="8" ht="24" customHeight="1">
      <x:c r="A8" s="5" t="str">
        <x:v>E03</x:v>
      </x:c>
      <x:c r="B8" s="8" t="d">
        <x:v>2026-10-29T20:24:23.000Z</x:v>
      </x:c>
      <x:c r="C8" s="5" t="str">
        <x:v>RLUSD</x:v>
      </x:c>
      <x:c r="D8" s="5" t="str">
        <x:v>Binance 14 (explorer label)</x:v>
      </x:c>
      <x:c r="E8" s="5" t="str">
        <x:v>Primary receiver</x:v>
      </x:c>
      <x:c r="F8" s="7" t="n">
        <x:f>IF(A8="","",IF(L8="","",VALUE(L8)/10^K8))</x:f>
        <x:v>62597239.679797046</x:v>
      </x:c>
      <x:c r="G8" s="13" t="str">
        <x:v>62597239.679797044969015518</x:v>
      </x:c>
      <x:c r="H8" s="5" t="str">
        <x:v>Initial receipt</x:v>
      </x:c>
      <x:c r="I8" s="5" t="str">
        <x:v>Explorer cross-checked</x:v>
      </x:c>
      <x:c r="J8" s="5" t="str">
        <x:v>0x8292bb45bf1ee4d140127049757c2e0ff06317ed</x:v>
      </x:c>
      <x:c r="K8" s="6" t="n">
        <x:v>18</x:v>
      </x:c>
      <x:c r="L8" s="13" t="str">
        <x:v>62597239679797044969015518</x:v>
      </x:c>
      <x:c r="M8" s="5" t="str">
        <x:v>0x28c6c06298d514db089934071355e5743bf21d60</x:v>
      </x:c>
      <x:c r="N8" s="5" t="str">
        <x:v>0x5227f603c1ee34ce3c06efe6477003bdfccb2f8c</x:v>
      </x:c>
      <x:c r="O8" s="5" t="str">
        <x:v>0x53bd38b816c23e74134786c29a8c18d792777998a3b9326047b583100e88e2f3</x:v>
      </x:c>
      <x:c r="P8" s="5" t="str">
        <x:v>log:520</x:v>
      </x:c>
      <x:c r="Q8" s="6" t="n">
        <x:v>26300770</x:v>
      </x:c>
      <x:c r="R8" s="5" t="str">
        <x:v>0x7c8601d4645b93cea45f71e118a729332e6b5ca0</x:v>
      </x:c>
      <x:c r="S8" s="5" t="str">
        <x:v>0x28c6c06298d514db089934071355e5743bf21d60</x:v>
      </x:c>
      <x:c r="T8" s="5" t="str">
        <x:v>https://etherscan.io/tx/0x53bd38b816c23e74134786c29a8c18d792777998a3b9326047b583100e88e2f3</x:v>
      </x:c>
      <x:c r="U8" s="5" t="str">
        <x:v>https://eth.blockscout.com/api/v2/transactions/0x53bd38b816c23e74134786c29a8c18d792777998a3b9326047b583100e88e2f3</x:v>
      </x:c>
      <x:c r="V8" s="5" t="str">
        <x:v>sweep</x:v>
      </x:c>
      <x:c r="W8" s="5" t="str">
        <x:v>Selected asset only; other sweep tokens are outside this starter ledger.</x:v>
      </x:c>
      <x:c r="X8" s="5" t="str">
        <x:v>Verified</x:v>
      </x:c>
    </x:row>
    <x:row r="9" ht="24" customHeight="1">
      <x:c r="A9" s="5" t="str">
        <x:v>E04</x:v>
      </x:c>
      <x:c r="B9" s="8" t="d">
        <x:v>2026-10-29T20:24:47.000Z</x:v>
      </x:c>
      <x:c r="C9" s="5" t="str">
        <x:v>ETH</x:v>
      </x:c>
      <x:c r="D9" s="5" t="str">
        <x:v>Binance 16 (explorer label)</x:v>
      </x:c>
      <x:c r="E9" s="5" t="str">
        <x:v>Primary receiver</x:v>
      </x:c>
      <x:c r="F9" s="7" t="n">
        <x:f>IF(A9="","",IF(L9="","",VALUE(L9)/10^K9))</x:f>
        <x:v>28005.600000000002</x:v>
      </x:c>
      <x:c r="G9" s="13" t="str">
        <x:v>28005.600000000000000000</x:v>
      </x:c>
      <x:c r="H9" s="5" t="str">
        <x:v>Initial receipt</x:v>
      </x:c>
      <x:c r="I9" s="5" t="str">
        <x:v>Explorer cross-checked</x:v>
      </x:c>
      <x:c r="J9" s="5" t="str">
        <x:v>native</x:v>
      </x:c>
      <x:c r="K9" s="6" t="n">
        <x:v>18</x:v>
      </x:c>
      <x:c r="L9" s="13" t="str">
        <x:v>28005600000000000000000</x:v>
      </x:c>
      <x:c r="M9" s="5" t="str">
        <x:v>0xdfd5293d8e347dfe59e90efd55b2956a1343963d</x:v>
      </x:c>
      <x:c r="N9" s="5" t="str">
        <x:v>0x5227f603c1ee34ce3c06efe6477003bdfccb2f8c</x:v>
      </x:c>
      <x:c r="O9" s="5" t="str">
        <x:v>0x51f263fa50966df6bbd7f8c6e6e99e3791c94444f7c4343b2fef1ee2d62fd39f</x:v>
      </x:c>
      <x:c r="P9" s="5" t="str">
        <x:v>tx:value</x:v>
      </x:c>
      <x:c r="Q9" s="6" t="n">
        <x:v>26300772</x:v>
      </x:c>
      <x:c r="R9" s="5" t="str">
        <x:v>0xdfd5293d8e347dfe59e90efd55b2956a1343963d</x:v>
      </x:c>
      <x:c r="S9" s="5" t="str">
        <x:v>0x5227f603c1ee34ce3c06efe6477003bdfccb2f8c</x:v>
      </x:c>
      <x:c r="T9" s="5" t="str">
        <x:v>https://etherscan.io/tx/0x51f263fa50966df6bbd7f8c6e6e99e3791c94444f7c4343b2fef1ee2d62fd39f</x:v>
      </x:c>
      <x:c r="U9" s="5" t="str">
        <x:v>https://eth.blockscout.com/api/v2/transactions/0x51f263fa50966df6bbd7f8c6e6e99e3791c94444f7c4343b2fef1ee2d62fd39f</x:v>
      </x:c>
      <x:c r="V9" s="5" t="str">
        <x:v>binance16</x:v>
      </x:c>
      <x:c r="W9" s="5" t="str">
        <x:v>Direct native ETH transfer.</x:v>
      </x:c>
      <x:c r="X9" s="5" t="str">
        <x:v>Verified</x:v>
      </x:c>
    </x:row>
    <x:row r="10" ht="24" customHeight="1">
      <x:c r="A10" s="5" t="str">
        <x:v>E05</x:v>
      </x:c>
      <x:c r="B10" s="8" t="d">
        <x:v>2026-10-29T20:38:47.000Z</x:v>
      </x:c>
      <x:c r="C10" s="5" t="str">
        <x:v>ETH</x:v>
      </x:c>
      <x:c r="D10" s="5" t="str">
        <x:v>Primary receiver</x:v>
      </x:c>
      <x:c r="E10" s="5" t="str">
        <x:v>ETH onward receiver</x:v>
      </x:c>
      <x:c r="F10" s="7" t="n">
        <x:f>IF(A10="","",IF(L10="","",VALUE(L10)/10^K10))</x:f>
        <x:v>195460</x:v>
      </x:c>
      <x:c r="G10" s="13" t="str">
        <x:v>195460.000000000000000000</x:v>
      </x:c>
      <x:c r="H10" s="5" t="str">
        <x:v>Onward transfer</x:v>
      </x:c>
      <x:c r="I10" s="5" t="str">
        <x:v>Explorer cross-checked</x:v>
      </x:c>
      <x:c r="J10" s="5" t="str">
        <x:v>native</x:v>
      </x:c>
      <x:c r="K10" s="6" t="n">
        <x:v>18</x:v>
      </x:c>
      <x:c r="L10" s="13" t="str">
        <x:v>195460000000000000000000</x:v>
      </x:c>
      <x:c r="M10" s="5" t="str">
        <x:v>0x5227f603c1ee34ce3c06efe6477003bdfccb2f8c</x:v>
      </x:c>
      <x:c r="N10" s="5" t="str">
        <x:v>0x8532fa14acaf483729c449b8458aeddb900543d4</x:v>
      </x:c>
      <x:c r="O10" s="5" t="str">
        <x:v>0x551d7961652e6d9835b11988908adf86ebe480badb4ce2d7d52193b2b1b02c76</x:v>
      </x:c>
      <x:c r="P10" s="5" t="str">
        <x:v>tx:value</x:v>
      </x:c>
      <x:c r="Q10" s="6" t="n">
        <x:v>26300842</x:v>
      </x:c>
      <x:c r="R10" s="5" t="str">
        <x:v>0x5227f603c1ee34ce3c06efe6477003bdfccb2f8c</x:v>
      </x:c>
      <x:c r="S10" s="5" t="str">
        <x:v>0x8532fa14acaf483729c449b8458aeddb900543d4</x:v>
      </x:c>
      <x:c r="T10" s="5" t="str">
        <x:v>https://etherscan.io/tx/0x551d7961652e6d9835b11988908adf86ebe480badb4ce2d7d52193b2b1b02c76</x:v>
      </x:c>
      <x:c r="U10" s="5" t="str">
        <x:v>https://eth.blockscout.com/api/v2/transactions/0x551d7961652e6d9835b11988908adf86ebe480badb4ce2d7d52193b2b1b02c76</x:v>
      </x:c>
      <x:c r="V10" s="5" t="str">
        <x:v>onward</x:v>
      </x:c>
      <x:c r="W10" s="5" t="str">
        <x:v>Gross onward transfer; do not add to initial loss. No allocation model applied.</x:v>
      </x:c>
      <x:c r="X10" s="5" t="str">
        <x:v>Verified</x:v>
      </x:c>
    </x:row>
    <x:row r="11" ht="24" customHeight="1">
      <x:c r="A11" s="5" t="str">
        <x:v>E06</x:v>
      </x:c>
      <x:c r="B11" s="8" t="d">
        <x:v>2026-10-29T20:41:23.000Z</x:v>
      </x:c>
      <x:c r="C11" s="5" t="str">
        <x:v>USDC</x:v>
      </x:c>
      <x:c r="D11" s="5" t="str">
        <x:v>Binance Hot Wallet 34 (explorer label)</x:v>
      </x:c>
      <x:c r="E11" s="5" t="str">
        <x:v>Primary receiver</x:v>
      </x:c>
      <x:c r="F11" s="7" t="n">
        <x:f>IF(A11="","",IF(L11="","",VALUE(L11)/10^K11))</x:f>
        <x:v>780000000</x:v>
      </x:c>
      <x:c r="G11" s="13" t="str">
        <x:v>780000000.000000</x:v>
      </x:c>
      <x:c r="H11" s="5" t="str">
        <x:v>Initial receipt</x:v>
      </x:c>
      <x:c r="I11" s="5" t="str">
        <x:v>Explorer cross-checked</x:v>
      </x:c>
      <x:c r="J11" s="5" t="str">
        <x:v>0xa0b86991c6218b36c1d19d4a2e9eb0ce3606eb48</x:v>
      </x:c>
      <x:c r="K11" s="6" t="n">
        <x:v>6</x:v>
      </x:c>
      <x:c r="L11" s="13" t="str">
        <x:v>780000000000000</x:v>
      </x:c>
      <x:c r="M11" s="5" t="str">
        <x:v>0xee7ae85f2fe2239e27d9c1e23fffe168d63b4055</x:v>
      </x:c>
      <x:c r="N11" s="5" t="str">
        <x:v>0x5227f603c1ee34ce3c06efe6477003bdfccb2f8c</x:v>
      </x:c>
      <x:c r="O11" s="5" t="str">
        <x:v>0xdc102dd89dded5a83f1008906883ffb7c81ff3b7d7965d8c7277d170b5e17481</x:v>
      </x:c>
      <x:c r="P11" s="5" t="str">
        <x:v>log:685</x:v>
      </x:c>
      <x:c r="Q11" s="6" t="n">
        <x:v>26300855</x:v>
      </x:c>
      <x:c r="R11" s="5" t="str">
        <x:v>0x7c8601d4645b93cea45f71e118a729332e6b5ca0</x:v>
      </x:c>
      <x:c r="S11" s="5" t="str">
        <x:v>0x28c6c06298d514db089934071355e5743bf21d60</x:v>
      </x:c>
      <x:c r="T11" s="5" t="str">
        <x:v>https://etherscan.io/tx/0xdc102dd89dded5a83f1008906883ffb7c81ff3b7d7965d8c7277d170b5e17481</x:v>
      </x:c>
      <x:c r="U11" s="5" t="str">
        <x:v>https://eth.blockscout.com/api/v2/transactions/0xdc102dd89dded5a83f1008906883ffb7c81ff3b7d7965d8c7277d170b5e17481</x:v>
      </x:c>
      <x:c r="V11" s="5" t="str">
        <x:v>usdc</x:v>
      </x:c>
      <x:c r="W11" s="5" t="str">
        <x:v>Actual token sender is Hot Wallet 34; outer transaction calls Binance 14.</x:v>
      </x:c>
      <x:c r="X11" s="5" t="str">
        <x:v>Verified</x:v>
      </x:c>
    </x:row>
    <x:row r="12" ht="24" customHeight="1">
      <x:c r="A12" s="5"/>
      <x:c r="B12" s="8"/>
      <x:c r="C12" s="5"/>
      <x:c r="D12" s="5"/>
      <x:c r="E12" s="5"/>
      <x:c r="F12" s="7" t="str">
        <x:f>IF(A12="","",IF(L12="","",VALUE(L12)/10^K12))</x:f>
      </x:c>
      <x:c r="G12" s="13"/>
      <x:c r="H12" s="5"/>
      <x:c r="I12" s="5"/>
      <x:c r="J12" s="5"/>
      <x:c r="K12" s="6"/>
      <x:c r="L12" s="13"/>
      <x:c r="M12" s="5"/>
      <x:c r="N12" s="5"/>
      <x:c r="O12" s="5"/>
      <x:c r="P12" s="5"/>
      <x:c r="Q12" s="6"/>
      <x:c r="R12" s="5"/>
      <x:c r="S12" s="5"/>
      <x:c r="T12" s="5"/>
      <x:c r="U12" s="5"/>
      <x:c r="V12" s="5"/>
      <x:c r="W12" s="5"/>
      <x:c r="X12" s="5"/>
    </x:row>
    <x:row r="13" ht="24" customHeight="1">
      <x:c r="A13" s="5"/>
      <x:c r="B13" s="8"/>
      <x:c r="C13" s="5"/>
      <x:c r="D13" s="5"/>
      <x:c r="E13" s="5"/>
      <x:c r="F13" s="7" t="str">
        <x:f>IF(A13="","",IF(L13="","",VALUE(L13)/10^K13))</x:f>
      </x:c>
      <x:c r="G13" s="13"/>
      <x:c r="H13" s="5"/>
      <x:c r="I13" s="5"/>
      <x:c r="J13" s="5"/>
      <x:c r="K13" s="6"/>
      <x:c r="L13" s="13"/>
      <x:c r="M13" s="5"/>
      <x:c r="N13" s="5"/>
      <x:c r="O13" s="5"/>
      <x:c r="P13" s="5"/>
      <x:c r="Q13" s="6"/>
      <x:c r="R13" s="5"/>
      <x:c r="S13" s="5"/>
      <x:c r="T13" s="5"/>
      <x:c r="U13" s="5"/>
      <x:c r="V13" s="5"/>
      <x:c r="W13" s="5"/>
      <x:c r="X13" s="5"/>
    </x:row>
    <x:row r="14" ht="24" customHeight="1">
      <x:c r="A14" s="5"/>
      <x:c r="B14" s="8"/>
      <x:c r="C14" s="5"/>
      <x:c r="D14" s="5"/>
      <x:c r="E14" s="5"/>
      <x:c r="F14" s="7" t="str">
        <x:f>IF(A14="","",IF(L14="","",VALUE(L14)/10^K14))</x:f>
      </x:c>
      <x:c r="G14" s="13"/>
      <x:c r="H14" s="5"/>
      <x:c r="I14" s="5"/>
      <x:c r="J14" s="5"/>
      <x:c r="K14" s="6"/>
      <x:c r="L14" s="13"/>
      <x:c r="M14" s="5"/>
      <x:c r="N14" s="5"/>
      <x:c r="O14" s="5"/>
      <x:c r="P14" s="5"/>
      <x:c r="Q14" s="6"/>
      <x:c r="R14" s="5"/>
      <x:c r="S14" s="5"/>
      <x:c r="T14" s="5"/>
      <x:c r="U14" s="5"/>
      <x:c r="V14" s="5"/>
      <x:c r="W14" s="5"/>
      <x:c r="X14" s="5"/>
    </x:row>
    <x:row r="15" ht="24" customHeight="1">
      <x:c r="A15" s="5"/>
      <x:c r="B15" s="8"/>
      <x:c r="C15" s="5"/>
      <x:c r="D15" s="5"/>
      <x:c r="E15" s="5"/>
      <x:c r="F15" s="7" t="str">
        <x:f>IF(A15="","",IF(L15="","",VALUE(L15)/10^K15))</x:f>
      </x:c>
      <x:c r="G15" s="13"/>
      <x:c r="H15" s="5"/>
      <x:c r="I15" s="5"/>
      <x:c r="J15" s="5"/>
      <x:c r="K15" s="6"/>
      <x:c r="L15" s="13"/>
      <x:c r="M15" s="5"/>
      <x:c r="N15" s="5"/>
      <x:c r="O15" s="5"/>
      <x:c r="P15" s="5"/>
      <x:c r="Q15" s="6"/>
      <x:c r="R15" s="5"/>
      <x:c r="S15" s="5"/>
      <x:c r="T15" s="5"/>
      <x:c r="U15" s="5"/>
      <x:c r="V15" s="5"/>
      <x:c r="W15" s="5"/>
      <x:c r="X15" s="5"/>
    </x:row>
    <x:row r="16" ht="24" customHeight="1">
      <x:c r="A16" s="5"/>
      <x:c r="B16" s="8"/>
      <x:c r="C16" s="5"/>
      <x:c r="D16" s="5"/>
      <x:c r="E16" s="5"/>
      <x:c r="F16" s="7" t="str">
        <x:f>IF(A16="","",IF(L16="","",VALUE(L16)/10^K16))</x:f>
      </x:c>
      <x:c r="G16" s="13"/>
      <x:c r="H16" s="5"/>
      <x:c r="I16" s="5"/>
      <x:c r="J16" s="5"/>
      <x:c r="K16" s="6"/>
      <x:c r="L16" s="13"/>
      <x:c r="M16" s="5"/>
      <x:c r="N16" s="5"/>
      <x:c r="O16" s="5"/>
      <x:c r="P16" s="5"/>
      <x:c r="Q16" s="6"/>
      <x:c r="R16" s="5"/>
      <x:c r="S16" s="5"/>
      <x:c r="T16" s="5"/>
      <x:c r="U16" s="5"/>
      <x:c r="V16" s="5"/>
      <x:c r="W16" s="5"/>
      <x:c r="X16" s="5"/>
    </x:row>
    <x:row r="17" ht="24" customHeight="1">
      <x:c r="A17" s="5"/>
      <x:c r="B17" s="8"/>
      <x:c r="C17" s="5"/>
      <x:c r="D17" s="5"/>
      <x:c r="E17" s="5"/>
      <x:c r="F17" s="7" t="str">
        <x:f>IF(A17="","",IF(L17="","",VALUE(L17)/10^K17))</x:f>
      </x:c>
      <x:c r="G17" s="13"/>
      <x:c r="H17" s="5"/>
      <x:c r="I17" s="5"/>
      <x:c r="J17" s="5"/>
      <x:c r="K17" s="6"/>
      <x:c r="L17" s="13"/>
      <x:c r="M17" s="5"/>
      <x:c r="N17" s="5"/>
      <x:c r="O17" s="5"/>
      <x:c r="P17" s="5"/>
      <x:c r="Q17" s="6"/>
      <x:c r="R17" s="5"/>
      <x:c r="S17" s="5"/>
      <x:c r="T17" s="5"/>
      <x:c r="U17" s="5"/>
      <x:c r="V17" s="5"/>
      <x:c r="W17" s="5"/>
      <x:c r="X17" s="5"/>
    </x:row>
    <x:row r="18" ht="24" customHeight="1">
      <x:c r="A18" s="5"/>
      <x:c r="B18" s="8"/>
      <x:c r="C18" s="5"/>
      <x:c r="D18" s="5"/>
      <x:c r="E18" s="5"/>
      <x:c r="F18" s="7" t="str">
        <x:f>IF(A18="","",IF(L18="","",VALUE(L18)/10^K18))</x:f>
      </x:c>
      <x:c r="G18" s="13"/>
      <x:c r="H18" s="5"/>
      <x:c r="I18" s="5"/>
      <x:c r="J18" s="5"/>
      <x:c r="K18" s="6"/>
      <x:c r="L18" s="13"/>
      <x:c r="M18" s="5"/>
      <x:c r="N18" s="5"/>
      <x:c r="O18" s="5"/>
      <x:c r="P18" s="5"/>
      <x:c r="Q18" s="6"/>
      <x:c r="R18" s="5"/>
      <x:c r="S18" s="5"/>
      <x:c r="T18" s="5"/>
      <x:c r="U18" s="5"/>
      <x:c r="V18" s="5"/>
      <x:c r="W18" s="5"/>
      <x:c r="X18" s="5"/>
    </x:row>
    <x:row r="19" ht="24" customHeight="1">
      <x:c r="A19" s="5"/>
      <x:c r="B19" s="8"/>
      <x:c r="C19" s="5"/>
      <x:c r="D19" s="5"/>
      <x:c r="E19" s="5"/>
      <x:c r="F19" s="7" t="str">
        <x:f>IF(A19="","",IF(L19="","",VALUE(L19)/10^K19))</x:f>
      </x:c>
      <x:c r="G19" s="13"/>
      <x:c r="H19" s="5"/>
      <x:c r="I19" s="5"/>
      <x:c r="J19" s="5"/>
      <x:c r="K19" s="6"/>
      <x:c r="L19" s="13"/>
      <x:c r="M19" s="5"/>
      <x:c r="N19" s="5"/>
      <x:c r="O19" s="5"/>
      <x:c r="P19" s="5"/>
      <x:c r="Q19" s="6"/>
      <x:c r="R19" s="5"/>
      <x:c r="S19" s="5"/>
      <x:c r="T19" s="5"/>
      <x:c r="U19" s="5"/>
      <x:c r="V19" s="5"/>
      <x:c r="W19" s="5"/>
      <x:c r="X19" s="5"/>
    </x:row>
    <x:row r="20" ht="24" customHeight="1">
      <x:c r="A20" s="5"/>
      <x:c r="B20" s="8"/>
      <x:c r="C20" s="5"/>
      <x:c r="D20" s="5"/>
      <x:c r="E20" s="5"/>
      <x:c r="F20" s="7" t="str">
        <x:f>IF(A20="","",IF(L20="","",VALUE(L20)/10^K20))</x:f>
      </x:c>
      <x:c r="G20" s="13"/>
      <x:c r="H20" s="5"/>
      <x:c r="I20" s="5"/>
      <x:c r="J20" s="5"/>
      <x:c r="K20" s="6"/>
      <x:c r="L20" s="13"/>
      <x:c r="M20" s="5"/>
      <x:c r="N20" s="5"/>
      <x:c r="O20" s="5"/>
      <x:c r="P20" s="5"/>
      <x:c r="Q20" s="6"/>
      <x:c r="R20" s="5"/>
      <x:c r="S20" s="5"/>
      <x:c r="T20" s="5"/>
      <x:c r="U20" s="5"/>
      <x:c r="V20" s="5"/>
      <x:c r="W20" s="5"/>
      <x:c r="X20" s="5"/>
    </x:row>
    <x:row r="21" ht="24" customHeight="1">
      <x:c r="A21" s="5"/>
      <x:c r="B21" s="8"/>
      <x:c r="C21" s="5"/>
      <x:c r="D21" s="5"/>
      <x:c r="E21" s="5"/>
      <x:c r="F21" s="7" t="str">
        <x:f>IF(A21="","",IF(L21="","",VALUE(L21)/10^K21))</x:f>
      </x:c>
      <x:c r="G21" s="13"/>
      <x:c r="H21" s="5"/>
      <x:c r="I21" s="5"/>
      <x:c r="J21" s="5"/>
      <x:c r="K21" s="6"/>
      <x:c r="L21" s="13"/>
      <x:c r="M21" s="5"/>
      <x:c r="N21" s="5"/>
      <x:c r="O21" s="5"/>
      <x:c r="P21" s="5"/>
      <x:c r="Q21" s="6"/>
      <x:c r="R21" s="5"/>
      <x:c r="S21" s="5"/>
      <x:c r="T21" s="5"/>
      <x:c r="U21" s="5"/>
      <x:c r="V21" s="5"/>
      <x:c r="W21" s="5"/>
      <x:c r="X21" s="5"/>
    </x:row>
    <x:row r="22" ht="24" customHeight="1">
      <x:c r="A22" s="5"/>
      <x:c r="B22" s="8"/>
      <x:c r="C22" s="5"/>
      <x:c r="D22" s="5"/>
      <x:c r="E22" s="5"/>
      <x:c r="F22" s="7" t="str">
        <x:f>IF(A22="","",IF(L22="","",VALUE(L22)/10^K22))</x:f>
      </x:c>
      <x:c r="G22" s="13"/>
      <x:c r="H22" s="5"/>
      <x:c r="I22" s="5"/>
      <x:c r="J22" s="5"/>
      <x:c r="K22" s="6"/>
      <x:c r="L22" s="13"/>
      <x:c r="M22" s="5"/>
      <x:c r="N22" s="5"/>
      <x:c r="O22" s="5"/>
      <x:c r="P22" s="5"/>
      <x:c r="Q22" s="6"/>
      <x:c r="R22" s="5"/>
      <x:c r="S22" s="5"/>
      <x:c r="T22" s="5"/>
      <x:c r="U22" s="5"/>
      <x:c r="V22" s="5"/>
      <x:c r="W22" s="5"/>
      <x:c r="X22" s="5"/>
    </x:row>
    <x:row r="23" ht="24" customHeight="1">
      <x:c r="A23" s="5"/>
      <x:c r="B23" s="8"/>
      <x:c r="C23" s="5"/>
      <x:c r="D23" s="5"/>
      <x:c r="E23" s="5"/>
      <x:c r="F23" s="7" t="str">
        <x:f>IF(A23="","",IF(L23="","",VALUE(L23)/10^K23))</x:f>
      </x:c>
      <x:c r="G23" s="13"/>
      <x:c r="H23" s="5"/>
      <x:c r="I23" s="5"/>
      <x:c r="J23" s="5"/>
      <x:c r="K23" s="6"/>
      <x:c r="L23" s="13"/>
      <x:c r="M23" s="5"/>
      <x:c r="N23" s="5"/>
      <x:c r="O23" s="5"/>
      <x:c r="P23" s="5"/>
      <x:c r="Q23" s="6"/>
      <x:c r="R23" s="5"/>
      <x:c r="S23" s="5"/>
      <x:c r="T23" s="5"/>
      <x:c r="U23" s="5"/>
      <x:c r="V23" s="5"/>
      <x:c r="W23" s="5"/>
      <x:c r="X23" s="5"/>
    </x:row>
    <x:row r="24" ht="24" customHeight="1">
      <x:c r="A24" s="5"/>
      <x:c r="B24" s="8"/>
      <x:c r="C24" s="5"/>
      <x:c r="D24" s="5"/>
      <x:c r="E24" s="5"/>
      <x:c r="F24" s="7" t="str">
        <x:f>IF(A24="","",IF(L24="","",VALUE(L24)/10^K24))</x:f>
      </x:c>
      <x:c r="G24" s="13"/>
      <x:c r="H24" s="5"/>
      <x:c r="I24" s="5"/>
      <x:c r="J24" s="5"/>
      <x:c r="K24" s="6"/>
      <x:c r="L24" s="13"/>
      <x:c r="M24" s="5"/>
      <x:c r="N24" s="5"/>
      <x:c r="O24" s="5"/>
      <x:c r="P24" s="5"/>
      <x:c r="Q24" s="6"/>
      <x:c r="R24" s="5"/>
      <x:c r="S24" s="5"/>
      <x:c r="T24" s="5"/>
      <x:c r="U24" s="5"/>
      <x:c r="V24" s="5"/>
      <x:c r="W24" s="5"/>
      <x:c r="X24" s="5"/>
    </x:row>
    <x:row r="25" ht="24" customHeight="1">
      <x:c r="A25" s="5"/>
      <x:c r="B25" s="8"/>
      <x:c r="C25" s="5"/>
      <x:c r="D25" s="5"/>
      <x:c r="E25" s="5"/>
      <x:c r="F25" s="7" t="str">
        <x:f>IF(A25="","",IF(L25="","",VALUE(L25)/10^K25))</x:f>
      </x:c>
      <x:c r="G25" s="13"/>
      <x:c r="H25" s="5"/>
      <x:c r="I25" s="5"/>
      <x:c r="J25" s="5"/>
      <x:c r="K25" s="6"/>
      <x:c r="L25" s="13"/>
      <x:c r="M25" s="5"/>
      <x:c r="N25" s="5"/>
      <x:c r="O25" s="5"/>
      <x:c r="P25" s="5"/>
      <x:c r="Q25" s="6"/>
      <x:c r="R25" s="5"/>
      <x:c r="S25" s="5"/>
      <x:c r="T25" s="5"/>
      <x:c r="U25" s="5"/>
      <x:c r="V25" s="5"/>
      <x:c r="W25" s="5"/>
      <x:c r="X25" s="5"/>
    </x:row>
    <x:row r="26" ht="24" customHeight="1">
      <x:c r="A26" s="5"/>
      <x:c r="B26" s="8"/>
      <x:c r="C26" s="5"/>
      <x:c r="D26" s="5"/>
      <x:c r="E26" s="5"/>
      <x:c r="F26" s="7" t="str">
        <x:f>IF(A26="","",IF(L26="","",VALUE(L26)/10^K26))</x:f>
      </x:c>
      <x:c r="G26" s="13"/>
      <x:c r="H26" s="5"/>
      <x:c r="I26" s="5"/>
      <x:c r="J26" s="5"/>
      <x:c r="K26" s="6"/>
      <x:c r="L26" s="13"/>
      <x:c r="M26" s="5"/>
      <x:c r="N26" s="5"/>
      <x:c r="O26" s="5"/>
      <x:c r="P26" s="5"/>
      <x:c r="Q26" s="6"/>
      <x:c r="R26" s="5"/>
      <x:c r="S26" s="5"/>
      <x:c r="T26" s="5"/>
      <x:c r="U26" s="5"/>
      <x:c r="V26" s="5"/>
      <x:c r="W26" s="5"/>
      <x:c r="X26" s="5"/>
    </x:row>
    <x:row r="27" ht="24" customHeight="1">
      <x:c r="A27" s="5"/>
      <x:c r="B27" s="8"/>
      <x:c r="C27" s="5"/>
      <x:c r="D27" s="5"/>
      <x:c r="E27" s="5"/>
      <x:c r="F27" s="7" t="str">
        <x:f>IF(A27="","",IF(L27="","",VALUE(L27)/10^K27))</x:f>
      </x:c>
      <x:c r="G27" s="13"/>
      <x:c r="H27" s="5"/>
      <x:c r="I27" s="5"/>
      <x:c r="J27" s="5"/>
      <x:c r="K27" s="6"/>
      <x:c r="L27" s="13"/>
      <x:c r="M27" s="5"/>
      <x:c r="N27" s="5"/>
      <x:c r="O27" s="5"/>
      <x:c r="P27" s="5"/>
      <x:c r="Q27" s="6"/>
      <x:c r="R27" s="5"/>
      <x:c r="S27" s="5"/>
      <x:c r="T27" s="5"/>
      <x:c r="U27" s="5"/>
      <x:c r="V27" s="5"/>
      <x:c r="W27" s="5"/>
      <x:c r="X27" s="5"/>
    </x:row>
    <x:row r="28" ht="24" customHeight="1">
      <x:c r="A28" s="5"/>
      <x:c r="B28" s="8"/>
      <x:c r="C28" s="5"/>
      <x:c r="D28" s="5"/>
      <x:c r="E28" s="5"/>
      <x:c r="F28" s="7" t="str">
        <x:f>IF(A28="","",IF(L28="","",VALUE(L28)/10^K28))</x:f>
      </x:c>
      <x:c r="G28" s="13"/>
      <x:c r="H28" s="5"/>
      <x:c r="I28" s="5"/>
      <x:c r="J28" s="5"/>
      <x:c r="K28" s="6"/>
      <x:c r="L28" s="13"/>
      <x:c r="M28" s="5"/>
      <x:c r="N28" s="5"/>
      <x:c r="O28" s="5"/>
      <x:c r="P28" s="5"/>
      <x:c r="Q28" s="6"/>
      <x:c r="R28" s="5"/>
      <x:c r="S28" s="5"/>
      <x:c r="T28" s="5"/>
      <x:c r="U28" s="5"/>
      <x:c r="V28" s="5"/>
      <x:c r="W28" s="5"/>
      <x:c r="X28" s="5"/>
    </x:row>
    <x:row r="29" ht="24" customHeight="1">
      <x:c r="A29" s="5"/>
      <x:c r="B29" s="8"/>
      <x:c r="C29" s="5"/>
      <x:c r="D29" s="5"/>
      <x:c r="E29" s="5"/>
      <x:c r="F29" s="7" t="str">
        <x:f>IF(A29="","",IF(L29="","",VALUE(L29)/10^K29))</x:f>
      </x:c>
      <x:c r="G29" s="13"/>
      <x:c r="H29" s="5"/>
      <x:c r="I29" s="5"/>
      <x:c r="J29" s="5"/>
      <x:c r="K29" s="6"/>
      <x:c r="L29" s="13"/>
      <x:c r="M29" s="5"/>
      <x:c r="N29" s="5"/>
      <x:c r="O29" s="5"/>
      <x:c r="P29" s="5"/>
      <x:c r="Q29" s="6"/>
      <x:c r="R29" s="5"/>
      <x:c r="S29" s="5"/>
      <x:c r="T29" s="5"/>
      <x:c r="U29" s="5"/>
      <x:c r="V29" s="5"/>
      <x:c r="W29" s="5"/>
      <x:c r="X29" s="5"/>
    </x:row>
    <x:row r="30" ht="24" customHeight="1">
      <x:c r="A30" s="5"/>
      <x:c r="B30" s="8"/>
      <x:c r="C30" s="5"/>
      <x:c r="D30" s="5"/>
      <x:c r="E30" s="5"/>
      <x:c r="F30" s="7" t="str">
        <x:f>IF(A30="","",IF(L30="","",VALUE(L30)/10^K30))</x:f>
      </x:c>
      <x:c r="G30" s="13"/>
      <x:c r="H30" s="5"/>
      <x:c r="I30" s="5"/>
      <x:c r="J30" s="5"/>
      <x:c r="K30" s="6"/>
      <x:c r="L30" s="13"/>
      <x:c r="M30" s="5"/>
      <x:c r="N30" s="5"/>
      <x:c r="O30" s="5"/>
      <x:c r="P30" s="5"/>
      <x:c r="Q30" s="6"/>
      <x:c r="R30" s="5"/>
      <x:c r="S30" s="5"/>
      <x:c r="T30" s="5"/>
      <x:c r="U30" s="5"/>
      <x:c r="V30" s="5"/>
      <x:c r="W30" s="5"/>
      <x:c r="X30" s="5"/>
    </x:row>
    <x:row r="31" ht="24" customHeight="1">
      <x:c r="A31" s="5"/>
      <x:c r="B31" s="8"/>
      <x:c r="C31" s="5"/>
      <x:c r="D31" s="5"/>
      <x:c r="E31" s="5"/>
      <x:c r="F31" s="7" t="str">
        <x:f>IF(A31="","",IF(L31="","",VALUE(L31)/10^K31))</x:f>
      </x:c>
      <x:c r="G31" s="13"/>
      <x:c r="H31" s="5"/>
      <x:c r="I31" s="5"/>
      <x:c r="J31" s="5"/>
      <x:c r="K31" s="6"/>
      <x:c r="L31" s="13"/>
      <x:c r="M31" s="5"/>
      <x:c r="N31" s="5"/>
      <x:c r="O31" s="5"/>
      <x:c r="P31" s="5"/>
      <x:c r="Q31" s="6"/>
      <x:c r="R31" s="5"/>
      <x:c r="S31" s="5"/>
      <x:c r="T31" s="5"/>
      <x:c r="U31" s="5"/>
      <x:c r="V31" s="5"/>
      <x:c r="W31" s="5"/>
      <x:c r="X31" s="5"/>
    </x:row>
    <x:row r="32" ht="24" customHeight="1">
      <x:c r="A32" s="5"/>
      <x:c r="B32" s="8"/>
      <x:c r="C32" s="5"/>
      <x:c r="D32" s="5"/>
      <x:c r="E32" s="5"/>
      <x:c r="F32" s="7" t="str">
        <x:f>IF(A32="","",IF(L32="","",VALUE(L32)/10^K32))</x:f>
      </x:c>
      <x:c r="G32" s="13"/>
      <x:c r="H32" s="5"/>
      <x:c r="I32" s="5"/>
      <x:c r="J32" s="5"/>
      <x:c r="K32" s="6"/>
      <x:c r="L32" s="13"/>
      <x:c r="M32" s="5"/>
      <x:c r="N32" s="5"/>
      <x:c r="O32" s="5"/>
      <x:c r="P32" s="5"/>
      <x:c r="Q32" s="6"/>
      <x:c r="R32" s="5"/>
      <x:c r="S32" s="5"/>
      <x:c r="T32" s="5"/>
      <x:c r="U32" s="5"/>
      <x:c r="V32" s="5"/>
      <x:c r="W32" s="5"/>
      <x:c r="X32" s="5"/>
    </x:row>
    <x:row r="33" ht="24" customHeight="1">
      <x:c r="A33" s="5"/>
      <x:c r="B33" s="8"/>
      <x:c r="C33" s="5"/>
      <x:c r="D33" s="5"/>
      <x:c r="E33" s="5"/>
      <x:c r="F33" s="7" t="str">
        <x:f>IF(A33="","",IF(L33="","",VALUE(L33)/10^K33))</x:f>
      </x:c>
      <x:c r="G33" s="13"/>
      <x:c r="H33" s="5"/>
      <x:c r="I33" s="5"/>
      <x:c r="J33" s="5"/>
      <x:c r="K33" s="6"/>
      <x:c r="L33" s="13"/>
      <x:c r="M33" s="5"/>
      <x:c r="N33" s="5"/>
      <x:c r="O33" s="5"/>
      <x:c r="P33" s="5"/>
      <x:c r="Q33" s="6"/>
      <x:c r="R33" s="5"/>
      <x:c r="S33" s="5"/>
      <x:c r="T33" s="5"/>
      <x:c r="U33" s="5"/>
      <x:c r="V33" s="5"/>
      <x:c r="W33" s="5"/>
      <x:c r="X33" s="5"/>
    </x:row>
    <x:row r="34" ht="24" customHeight="1">
      <x:c r="A34" s="5"/>
      <x:c r="B34" s="8"/>
      <x:c r="C34" s="5"/>
      <x:c r="D34" s="5"/>
      <x:c r="E34" s="5"/>
      <x:c r="F34" s="7" t="str">
        <x:f>IF(A34="","",IF(L34="","",VALUE(L34)/10^K34))</x:f>
      </x:c>
      <x:c r="G34" s="13"/>
      <x:c r="H34" s="5"/>
      <x:c r="I34" s="5"/>
      <x:c r="J34" s="5"/>
      <x:c r="K34" s="6"/>
      <x:c r="L34" s="13"/>
      <x:c r="M34" s="5"/>
      <x:c r="N34" s="5"/>
      <x:c r="O34" s="5"/>
      <x:c r="P34" s="5"/>
      <x:c r="Q34" s="6"/>
      <x:c r="R34" s="5"/>
      <x:c r="S34" s="5"/>
      <x:c r="T34" s="5"/>
      <x:c r="U34" s="5"/>
      <x:c r="V34" s="5"/>
      <x:c r="W34" s="5"/>
      <x:c r="X34" s="5"/>
    </x:row>
    <x:row r="35" ht="24" customHeight="1">
      <x:c r="A35" s="5"/>
      <x:c r="B35" s="8"/>
      <x:c r="C35" s="5"/>
      <x:c r="D35" s="5"/>
      <x:c r="E35" s="5"/>
      <x:c r="F35" s="7" t="str">
        <x:f>IF(A35="","",IF(L35="","",VALUE(L35)/10^K35))</x:f>
      </x:c>
      <x:c r="G35" s="13"/>
      <x:c r="H35" s="5"/>
      <x:c r="I35" s="5"/>
      <x:c r="J35" s="5"/>
      <x:c r="K35" s="6"/>
      <x:c r="L35" s="13"/>
      <x:c r="M35" s="5"/>
      <x:c r="N35" s="5"/>
      <x:c r="O35" s="5"/>
      <x:c r="P35" s="5"/>
      <x:c r="Q35" s="6"/>
      <x:c r="R35" s="5"/>
      <x:c r="S35" s="5"/>
      <x:c r="T35" s="5"/>
      <x:c r="U35" s="5"/>
      <x:c r="V35" s="5"/>
      <x:c r="W35" s="5"/>
      <x:c r="X35" s="5"/>
    </x:row>
    <x:row r="36" ht="24" customHeight="1">
      <x:c r="A36" s="5"/>
      <x:c r="B36" s="8"/>
      <x:c r="C36" s="5"/>
      <x:c r="D36" s="5"/>
      <x:c r="E36" s="5"/>
      <x:c r="F36" s="7" t="str">
        <x:f>IF(A36="","",IF(L36="","",VALUE(L36)/10^K36))</x:f>
      </x:c>
      <x:c r="G36" s="13"/>
      <x:c r="H36" s="5"/>
      <x:c r="I36" s="5"/>
      <x:c r="J36" s="5"/>
      <x:c r="K36" s="6"/>
      <x:c r="L36" s="13"/>
      <x:c r="M36" s="5"/>
      <x:c r="N36" s="5"/>
      <x:c r="O36" s="5"/>
      <x:c r="P36" s="5"/>
      <x:c r="Q36" s="6"/>
      <x:c r="R36" s="5"/>
      <x:c r="S36" s="5"/>
      <x:c r="T36" s="5"/>
      <x:c r="U36" s="5"/>
      <x:c r="V36" s="5"/>
      <x:c r="W36" s="5"/>
      <x:c r="X36" s="5"/>
    </x:row>
    <x:row r="37" ht="24" customHeight="1">
      <x:c r="A37" s="5"/>
      <x:c r="B37" s="8"/>
      <x:c r="C37" s="5"/>
      <x:c r="D37" s="5"/>
      <x:c r="E37" s="5"/>
      <x:c r="F37" s="7" t="str">
        <x:f>IF(A37="","",IF(L37="","",VALUE(L37)/10^K37))</x:f>
      </x:c>
      <x:c r="G37" s="13"/>
      <x:c r="H37" s="5"/>
      <x:c r="I37" s="5"/>
      <x:c r="J37" s="5"/>
      <x:c r="K37" s="6"/>
      <x:c r="L37" s="13"/>
      <x:c r="M37" s="5"/>
      <x:c r="N37" s="5"/>
      <x:c r="O37" s="5"/>
      <x:c r="P37" s="5"/>
      <x:c r="Q37" s="6"/>
      <x:c r="R37" s="5"/>
      <x:c r="S37" s="5"/>
      <x:c r="T37" s="5"/>
      <x:c r="U37" s="5"/>
      <x:c r="V37" s="5"/>
      <x:c r="W37" s="5"/>
      <x:c r="X37" s="5"/>
    </x:row>
    <x:row r="38" ht="24" customHeight="1">
      <x:c r="A38" s="5"/>
      <x:c r="B38" s="8"/>
      <x:c r="C38" s="5"/>
      <x:c r="D38" s="5"/>
      <x:c r="E38" s="5"/>
      <x:c r="F38" s="7" t="str">
        <x:f>IF(A38="","",IF(L38="","",VALUE(L38)/10^K38))</x:f>
      </x:c>
      <x:c r="G38" s="13"/>
      <x:c r="H38" s="5"/>
      <x:c r="I38" s="5"/>
      <x:c r="J38" s="5"/>
      <x:c r="K38" s="6"/>
      <x:c r="L38" s="13"/>
      <x:c r="M38" s="5"/>
      <x:c r="N38" s="5"/>
      <x:c r="O38" s="5"/>
      <x:c r="P38" s="5"/>
      <x:c r="Q38" s="6"/>
      <x:c r="R38" s="5"/>
      <x:c r="S38" s="5"/>
      <x:c r="T38" s="5"/>
      <x:c r="U38" s="5"/>
      <x:c r="V38" s="5"/>
      <x:c r="W38" s="5"/>
      <x:c r="X38" s="5"/>
    </x:row>
    <x:row r="39" ht="24" customHeight="1">
      <x:c r="A39" s="5"/>
      <x:c r="B39" s="8"/>
      <x:c r="C39" s="5"/>
      <x:c r="D39" s="5"/>
      <x:c r="E39" s="5"/>
      <x:c r="F39" s="7" t="str">
        <x:f>IF(A39="","",IF(L39="","",VALUE(L39)/10^K39))</x:f>
      </x:c>
      <x:c r="G39" s="13"/>
      <x:c r="H39" s="5"/>
      <x:c r="I39" s="5"/>
      <x:c r="J39" s="5"/>
      <x:c r="K39" s="6"/>
      <x:c r="L39" s="13"/>
      <x:c r="M39" s="5"/>
      <x:c r="N39" s="5"/>
      <x:c r="O39" s="5"/>
      <x:c r="P39" s="5"/>
      <x:c r="Q39" s="6"/>
      <x:c r="R39" s="5"/>
      <x:c r="S39" s="5"/>
      <x:c r="T39" s="5"/>
      <x:c r="U39" s="5"/>
      <x:c r="V39" s="5"/>
      <x:c r="W39" s="5"/>
      <x:c r="X39" s="5"/>
    </x:row>
    <x:row r="40" ht="24" customHeight="1">
      <x:c r="A40" s="5"/>
      <x:c r="B40" s="8"/>
      <x:c r="C40" s="5"/>
      <x:c r="D40" s="5"/>
      <x:c r="E40" s="5"/>
      <x:c r="F40" s="7" t="str">
        <x:f>IF(A40="","",IF(L40="","",VALUE(L40)/10^K40))</x:f>
      </x:c>
      <x:c r="G40" s="13"/>
      <x:c r="H40" s="5"/>
      <x:c r="I40" s="5"/>
      <x:c r="J40" s="5"/>
      <x:c r="K40" s="6"/>
      <x:c r="L40" s="13"/>
      <x:c r="M40" s="5"/>
      <x:c r="N40" s="5"/>
      <x:c r="O40" s="5"/>
      <x:c r="P40" s="5"/>
      <x:c r="Q40" s="6"/>
      <x:c r="R40" s="5"/>
      <x:c r="S40" s="5"/>
      <x:c r="T40" s="5"/>
      <x:c r="U40" s="5"/>
      <x:c r="V40" s="5"/>
      <x:c r="W40" s="5"/>
      <x:c r="X40" s="5"/>
    </x:row>
    <x:row r="41" ht="24" customHeight="1">
      <x:c r="A41" s="5"/>
      <x:c r="B41" s="8"/>
      <x:c r="C41" s="5"/>
      <x:c r="D41" s="5"/>
      <x:c r="E41" s="5"/>
      <x:c r="F41" s="7" t="str">
        <x:f>IF(A41="","",IF(L41="","",VALUE(L41)/10^K41))</x:f>
      </x:c>
      <x:c r="G41" s="13"/>
      <x:c r="H41" s="5"/>
      <x:c r="I41" s="5"/>
      <x:c r="J41" s="5"/>
      <x:c r="K41" s="6"/>
      <x:c r="L41" s="13"/>
      <x:c r="M41" s="5"/>
      <x:c r="N41" s="5"/>
      <x:c r="O41" s="5"/>
      <x:c r="P41" s="5"/>
      <x:c r="Q41" s="6"/>
      <x:c r="R41" s="5"/>
      <x:c r="S41" s="5"/>
      <x:c r="T41" s="5"/>
      <x:c r="U41" s="5"/>
      <x:c r="V41" s="5"/>
      <x:c r="W41" s="5"/>
      <x:c r="X41" s="5"/>
    </x:row>
    <x:row r="42" ht="24" customHeight="1">
      <x:c r="A42" s="5"/>
      <x:c r="B42" s="8"/>
      <x:c r="C42" s="5"/>
      <x:c r="D42" s="5"/>
      <x:c r="E42" s="5"/>
      <x:c r="F42" s="7" t="str">
        <x:f>IF(A42="","",IF(L42="","",VALUE(L42)/10^K42))</x:f>
      </x:c>
      <x:c r="G42" s="13"/>
      <x:c r="H42" s="5"/>
      <x:c r="I42" s="5"/>
      <x:c r="J42" s="5"/>
      <x:c r="K42" s="6"/>
      <x:c r="L42" s="13"/>
      <x:c r="M42" s="5"/>
      <x:c r="N42" s="5"/>
      <x:c r="O42" s="5"/>
      <x:c r="P42" s="5"/>
      <x:c r="Q42" s="6"/>
      <x:c r="R42" s="5"/>
      <x:c r="S42" s="5"/>
      <x:c r="T42" s="5"/>
      <x:c r="U42" s="5"/>
      <x:c r="V42" s="5"/>
      <x:c r="W42" s="5"/>
      <x:c r="X42" s="5"/>
    </x:row>
    <x:row r="43" ht="24" customHeight="1">
      <x:c r="A43" s="5"/>
      <x:c r="B43" s="8"/>
      <x:c r="C43" s="5"/>
      <x:c r="D43" s="5"/>
      <x:c r="E43" s="5"/>
      <x:c r="F43" s="7" t="str">
        <x:f>IF(A43="","",IF(L43="","",VALUE(L43)/10^K43))</x:f>
      </x:c>
      <x:c r="G43" s="13"/>
      <x:c r="H43" s="5"/>
      <x:c r="I43" s="5"/>
      <x:c r="J43" s="5"/>
      <x:c r="K43" s="6"/>
      <x:c r="L43" s="13"/>
      <x:c r="M43" s="5"/>
      <x:c r="N43" s="5"/>
      <x:c r="O43" s="5"/>
      <x:c r="P43" s="5"/>
      <x:c r="Q43" s="6"/>
      <x:c r="R43" s="5"/>
      <x:c r="S43" s="5"/>
      <x:c r="T43" s="5"/>
      <x:c r="U43" s="5"/>
      <x:c r="V43" s="5"/>
      <x:c r="W43" s="5"/>
      <x:c r="X43" s="5"/>
    </x:row>
    <x:row r="44" ht="24" customHeight="1">
      <x:c r="A44" s="5"/>
      <x:c r="B44" s="8"/>
      <x:c r="C44" s="5"/>
      <x:c r="D44" s="5"/>
      <x:c r="E44" s="5"/>
      <x:c r="F44" s="7" t="str">
        <x:f>IF(A44="","",IF(L44="","",VALUE(L44)/10^K44))</x:f>
      </x:c>
      <x:c r="G44" s="13"/>
      <x:c r="H44" s="5"/>
      <x:c r="I44" s="5"/>
      <x:c r="J44" s="5"/>
      <x:c r="K44" s="6"/>
      <x:c r="L44" s="13"/>
      <x:c r="M44" s="5"/>
      <x:c r="N44" s="5"/>
      <x:c r="O44" s="5"/>
      <x:c r="P44" s="5"/>
      <x:c r="Q44" s="6"/>
      <x:c r="R44" s="5"/>
      <x:c r="S44" s="5"/>
      <x:c r="T44" s="5"/>
      <x:c r="U44" s="5"/>
      <x:c r="V44" s="5"/>
      <x:c r="W44" s="5"/>
      <x:c r="X44" s="5"/>
    </x:row>
    <x:row r="45" ht="24" customHeight="1">
      <x:c r="A45" s="5"/>
      <x:c r="B45" s="8"/>
      <x:c r="C45" s="5"/>
      <x:c r="D45" s="5"/>
      <x:c r="E45" s="5"/>
      <x:c r="F45" s="7" t="str">
        <x:f>IF(A45="","",IF(L45="","",VALUE(L45)/10^K45))</x:f>
      </x:c>
      <x:c r="G45" s="13"/>
      <x:c r="H45" s="5"/>
      <x:c r="I45" s="5"/>
      <x:c r="J45" s="5"/>
      <x:c r="K45" s="6"/>
      <x:c r="L45" s="13"/>
      <x:c r="M45" s="5"/>
      <x:c r="N45" s="5"/>
      <x:c r="O45" s="5"/>
      <x:c r="P45" s="5"/>
      <x:c r="Q45" s="6"/>
      <x:c r="R45" s="5"/>
      <x:c r="S45" s="5"/>
      <x:c r="T45" s="5"/>
      <x:c r="U45" s="5"/>
      <x:c r="V45" s="5"/>
      <x:c r="W45" s="5"/>
      <x:c r="X45" s="5"/>
    </x:row>
    <x:row r="46" ht="24" customHeight="1">
      <x:c r="A46" s="5"/>
      <x:c r="B46" s="8"/>
      <x:c r="C46" s="5"/>
      <x:c r="D46" s="5"/>
      <x:c r="E46" s="5"/>
      <x:c r="F46" s="7" t="str">
        <x:f>IF(A46="","",IF(L46="","",VALUE(L46)/10^K46))</x:f>
      </x:c>
      <x:c r="G46" s="13"/>
      <x:c r="H46" s="5"/>
      <x:c r="I46" s="5"/>
      <x:c r="J46" s="5"/>
      <x:c r="K46" s="6"/>
      <x:c r="L46" s="13"/>
      <x:c r="M46" s="5"/>
      <x:c r="N46" s="5"/>
      <x:c r="O46" s="5"/>
      <x:c r="P46" s="5"/>
      <x:c r="Q46" s="6"/>
      <x:c r="R46" s="5"/>
      <x:c r="S46" s="5"/>
      <x:c r="T46" s="5"/>
      <x:c r="U46" s="5"/>
      <x:c r="V46" s="5"/>
      <x:c r="W46" s="5"/>
      <x:c r="X46" s="5"/>
    </x:row>
    <x:row r="47" ht="24" customHeight="1">
      <x:c r="A47" s="5"/>
      <x:c r="B47" s="8"/>
      <x:c r="C47" s="5"/>
      <x:c r="D47" s="5"/>
      <x:c r="E47" s="5"/>
      <x:c r="F47" s="7" t="str">
        <x:f>IF(A47="","",IF(L47="","",VALUE(L47)/10^K47))</x:f>
      </x:c>
      <x:c r="G47" s="13"/>
      <x:c r="H47" s="5"/>
      <x:c r="I47" s="5"/>
      <x:c r="J47" s="5"/>
      <x:c r="K47" s="6"/>
      <x:c r="L47" s="13"/>
      <x:c r="M47" s="5"/>
      <x:c r="N47" s="5"/>
      <x:c r="O47" s="5"/>
      <x:c r="P47" s="5"/>
      <x:c r="Q47" s="6"/>
      <x:c r="R47" s="5"/>
      <x:c r="S47" s="5"/>
      <x:c r="T47" s="5"/>
      <x:c r="U47" s="5"/>
      <x:c r="V47" s="5"/>
      <x:c r="W47" s="5"/>
      <x:c r="X47" s="5"/>
    </x:row>
    <x:row r="48" ht="24" customHeight="1">
      <x:c r="A48" s="5"/>
      <x:c r="B48" s="8"/>
      <x:c r="C48" s="5"/>
      <x:c r="D48" s="5"/>
      <x:c r="E48" s="5"/>
      <x:c r="F48" s="7" t="str">
        <x:f>IF(A48="","",IF(L48="","",VALUE(L48)/10^K48))</x:f>
      </x:c>
      <x:c r="G48" s="13"/>
      <x:c r="H48" s="5"/>
      <x:c r="I48" s="5"/>
      <x:c r="J48" s="5"/>
      <x:c r="K48" s="6"/>
      <x:c r="L48" s="13"/>
      <x:c r="M48" s="5"/>
      <x:c r="N48" s="5"/>
      <x:c r="O48" s="5"/>
      <x:c r="P48" s="5"/>
      <x:c r="Q48" s="6"/>
      <x:c r="R48" s="5"/>
      <x:c r="S48" s="5"/>
      <x:c r="T48" s="5"/>
      <x:c r="U48" s="5"/>
      <x:c r="V48" s="5"/>
      <x:c r="W48" s="5"/>
      <x:c r="X48" s="5"/>
    </x:row>
    <x:row r="49" ht="24" customHeight="1">
      <x:c r="A49" s="5"/>
      <x:c r="B49" s="8"/>
      <x:c r="C49" s="5"/>
      <x:c r="D49" s="5"/>
      <x:c r="E49" s="5"/>
      <x:c r="F49" s="7" t="str">
        <x:f>IF(A49="","",IF(L49="","",VALUE(L49)/10^K49))</x:f>
      </x:c>
      <x:c r="G49" s="13"/>
      <x:c r="H49" s="5"/>
      <x:c r="I49" s="5"/>
      <x:c r="J49" s="5"/>
      <x:c r="K49" s="6"/>
      <x:c r="L49" s="13"/>
      <x:c r="M49" s="5"/>
      <x:c r="N49" s="5"/>
      <x:c r="O49" s="5"/>
      <x:c r="P49" s="5"/>
      <x:c r="Q49" s="6"/>
      <x:c r="R49" s="5"/>
      <x:c r="S49" s="5"/>
      <x:c r="T49" s="5"/>
      <x:c r="U49" s="5"/>
      <x:c r="V49" s="5"/>
      <x:c r="W49" s="5"/>
      <x:c r="X49" s="5"/>
    </x:row>
    <x:row r="50" ht="24" customHeight="1">
      <x:c r="A50" s="5"/>
      <x:c r="B50" s="8"/>
      <x:c r="C50" s="5"/>
      <x:c r="D50" s="5"/>
      <x:c r="E50" s="5"/>
      <x:c r="F50" s="7" t="str">
        <x:f>IF(A50="","",IF(L50="","",VALUE(L50)/10^K50))</x:f>
      </x:c>
      <x:c r="G50" s="13"/>
      <x:c r="H50" s="5"/>
      <x:c r="I50" s="5"/>
      <x:c r="J50" s="5"/>
      <x:c r="K50" s="6"/>
      <x:c r="L50" s="13"/>
      <x:c r="M50" s="5"/>
      <x:c r="N50" s="5"/>
      <x:c r="O50" s="5"/>
      <x:c r="P50" s="5"/>
      <x:c r="Q50" s="6"/>
      <x:c r="R50" s="5"/>
      <x:c r="S50" s="5"/>
      <x:c r="T50" s="5"/>
      <x:c r="U50" s="5"/>
      <x:c r="V50" s="5"/>
      <x:c r="W50" s="5"/>
      <x:c r="X50" s="5"/>
    </x:row>
    <x:row r="51" ht="24" customHeight="1">
      <x:c r="A51" s="5"/>
      <x:c r="B51" s="8"/>
      <x:c r="C51" s="5"/>
      <x:c r="D51" s="5"/>
      <x:c r="E51" s="5"/>
      <x:c r="F51" s="7" t="str">
        <x:f>IF(A51="","",IF(L51="","",VALUE(L51)/10^K51))</x:f>
      </x:c>
      <x:c r="G51" s="13"/>
      <x:c r="H51" s="5"/>
      <x:c r="I51" s="5"/>
      <x:c r="J51" s="5"/>
      <x:c r="K51" s="6"/>
      <x:c r="L51" s="13"/>
      <x:c r="M51" s="5"/>
      <x:c r="N51" s="5"/>
      <x:c r="O51" s="5"/>
      <x:c r="P51" s="5"/>
      <x:c r="Q51" s="6"/>
      <x:c r="R51" s="5"/>
      <x:c r="S51" s="5"/>
      <x:c r="T51" s="5"/>
      <x:c r="U51" s="5"/>
      <x:c r="V51" s="5"/>
      <x:c r="W51" s="5"/>
      <x:c r="X51" s="5"/>
    </x:row>
    <x:row r="52" ht="24" customHeight="1">
      <x:c r="A52" s="5"/>
      <x:c r="B52" s="8"/>
      <x:c r="C52" s="5"/>
      <x:c r="D52" s="5"/>
      <x:c r="E52" s="5"/>
      <x:c r="F52" s="7" t="str">
        <x:f>IF(A52="","",IF(L52="","",VALUE(L52)/10^K52))</x:f>
      </x:c>
      <x:c r="G52" s="13"/>
      <x:c r="H52" s="5"/>
      <x:c r="I52" s="5"/>
      <x:c r="J52" s="5"/>
      <x:c r="K52" s="6"/>
      <x:c r="L52" s="13"/>
      <x:c r="M52" s="5"/>
      <x:c r="N52" s="5"/>
      <x:c r="O52" s="5"/>
      <x:c r="P52" s="5"/>
      <x:c r="Q52" s="6"/>
      <x:c r="R52" s="5"/>
      <x:c r="S52" s="5"/>
      <x:c r="T52" s="5"/>
      <x:c r="U52" s="5"/>
      <x:c r="V52" s="5"/>
      <x:c r="W52" s="5"/>
      <x:c r="X52" s="5"/>
    </x:row>
    <x:row r="53" ht="24" customHeight="1">
      <x:c r="A53" s="5"/>
      <x:c r="B53" s="8"/>
      <x:c r="C53" s="5"/>
      <x:c r="D53" s="5"/>
      <x:c r="E53" s="5"/>
      <x:c r="F53" s="7" t="str">
        <x:f>IF(A53="","",IF(L53="","",VALUE(L53)/10^K53))</x:f>
      </x:c>
      <x:c r="G53" s="13"/>
      <x:c r="H53" s="5"/>
      <x:c r="I53" s="5"/>
      <x:c r="J53" s="5"/>
      <x:c r="K53" s="6"/>
      <x:c r="L53" s="13"/>
      <x:c r="M53" s="5"/>
      <x:c r="N53" s="5"/>
      <x:c r="O53" s="5"/>
      <x:c r="P53" s="5"/>
      <x:c r="Q53" s="6"/>
      <x:c r="R53" s="5"/>
      <x:c r="S53" s="5"/>
      <x:c r="T53" s="5"/>
      <x:c r="U53" s="5"/>
      <x:c r="V53" s="5"/>
      <x:c r="W53" s="5"/>
      <x:c r="X53" s="5"/>
    </x:row>
    <x:row r="54" ht="24" customHeight="1">
      <x:c r="A54" s="5"/>
      <x:c r="B54" s="8"/>
      <x:c r="C54" s="5"/>
      <x:c r="D54" s="5"/>
      <x:c r="E54" s="5"/>
      <x:c r="F54" s="7" t="str">
        <x:f>IF(A54="","",IF(L54="","",VALUE(L54)/10^K54))</x:f>
      </x:c>
      <x:c r="G54" s="13"/>
      <x:c r="H54" s="5"/>
      <x:c r="I54" s="5"/>
      <x:c r="J54" s="5"/>
      <x:c r="K54" s="6"/>
      <x:c r="L54" s="13"/>
      <x:c r="M54" s="5"/>
      <x:c r="N54" s="5"/>
      <x:c r="O54" s="5"/>
      <x:c r="P54" s="5"/>
      <x:c r="Q54" s="6"/>
      <x:c r="R54" s="5"/>
      <x:c r="S54" s="5"/>
      <x:c r="T54" s="5"/>
      <x:c r="U54" s="5"/>
      <x:c r="V54" s="5"/>
      <x:c r="W54" s="5"/>
      <x:c r="X54" s="5"/>
    </x:row>
    <x:row r="55" ht="24" customHeight="1">
      <x:c r="A55" s="5"/>
      <x:c r="B55" s="8"/>
      <x:c r="C55" s="5"/>
      <x:c r="D55" s="5"/>
      <x:c r="E55" s="5"/>
      <x:c r="F55" s="7" t="str">
        <x:f>IF(A55="","",IF(L55="","",VALUE(L55)/10^K55))</x:f>
      </x:c>
      <x:c r="G55" s="13"/>
      <x:c r="H55" s="5"/>
      <x:c r="I55" s="5"/>
      <x:c r="J55" s="5"/>
      <x:c r="K55" s="6"/>
      <x:c r="L55" s="13"/>
      <x:c r="M55" s="5"/>
      <x:c r="N55" s="5"/>
      <x:c r="O55" s="5"/>
      <x:c r="P55" s="5"/>
      <x:c r="Q55" s="6"/>
      <x:c r="R55" s="5"/>
      <x:c r="S55" s="5"/>
      <x:c r="T55" s="5"/>
      <x:c r="U55" s="5"/>
      <x:c r="V55" s="5"/>
      <x:c r="W55" s="5"/>
      <x:c r="X55" s="5"/>
    </x:row>
    <x:row r="56" ht="24" customHeight="1">
      <x:c r="A56" s="5"/>
      <x:c r="B56" s="8"/>
      <x:c r="C56" s="5"/>
      <x:c r="D56" s="5"/>
      <x:c r="E56" s="5"/>
      <x:c r="F56" s="7" t="str">
        <x:f>IF(A56="","",IF(L56="","",VALUE(L56)/10^K56))</x:f>
      </x:c>
      <x:c r="G56" s="13"/>
      <x:c r="H56" s="5"/>
      <x:c r="I56" s="5"/>
      <x:c r="J56" s="5"/>
      <x:c r="K56" s="6"/>
      <x:c r="L56" s="13"/>
      <x:c r="M56" s="5"/>
      <x:c r="N56" s="5"/>
      <x:c r="O56" s="5"/>
      <x:c r="P56" s="5"/>
      <x:c r="Q56" s="6"/>
      <x:c r="R56" s="5"/>
      <x:c r="S56" s="5"/>
      <x:c r="T56" s="5"/>
      <x:c r="U56" s="5"/>
      <x:c r="V56" s="5"/>
      <x:c r="W56" s="5"/>
      <x:c r="X56" s="5"/>
    </x:row>
    <x:row r="57" ht="24" customHeight="1">
      <x:c r="A57" s="5"/>
      <x:c r="B57" s="8"/>
      <x:c r="C57" s="5"/>
      <x:c r="D57" s="5"/>
      <x:c r="E57" s="5"/>
      <x:c r="F57" s="7" t="str">
        <x:f>IF(A57="","",IF(L57="","",VALUE(L57)/10^K57))</x:f>
      </x:c>
      <x:c r="G57" s="13"/>
      <x:c r="H57" s="5"/>
      <x:c r="I57" s="5"/>
      <x:c r="J57" s="5"/>
      <x:c r="K57" s="6"/>
      <x:c r="L57" s="13"/>
      <x:c r="M57" s="5"/>
      <x:c r="N57" s="5"/>
      <x:c r="O57" s="5"/>
      <x:c r="P57" s="5"/>
      <x:c r="Q57" s="6"/>
      <x:c r="R57" s="5"/>
      <x:c r="S57" s="5"/>
      <x:c r="T57" s="5"/>
      <x:c r="U57" s="5"/>
      <x:c r="V57" s="5"/>
      <x:c r="W57" s="5"/>
      <x:c r="X57" s="5"/>
    </x:row>
    <x:row r="58" ht="24" customHeight="1">
      <x:c r="A58" s="5"/>
      <x:c r="B58" s="8"/>
      <x:c r="C58" s="5"/>
      <x:c r="D58" s="5"/>
      <x:c r="E58" s="5"/>
      <x:c r="F58" s="7" t="str">
        <x:f>IF(A58="","",IF(L58="","",VALUE(L58)/10^K58))</x:f>
      </x:c>
      <x:c r="G58" s="13"/>
      <x:c r="H58" s="5"/>
      <x:c r="I58" s="5"/>
      <x:c r="J58" s="5"/>
      <x:c r="K58" s="6"/>
      <x:c r="L58" s="13"/>
      <x:c r="M58" s="5"/>
      <x:c r="N58" s="5"/>
      <x:c r="O58" s="5"/>
      <x:c r="P58" s="5"/>
      <x:c r="Q58" s="6"/>
      <x:c r="R58" s="5"/>
      <x:c r="S58" s="5"/>
      <x:c r="T58" s="5"/>
      <x:c r="U58" s="5"/>
      <x:c r="V58" s="5"/>
      <x:c r="W58" s="5"/>
      <x:c r="X58" s="5"/>
    </x:row>
    <x:row r="59" ht="24" customHeight="1">
      <x:c r="A59" s="5"/>
      <x:c r="B59" s="8"/>
      <x:c r="C59" s="5"/>
      <x:c r="D59" s="5"/>
      <x:c r="E59" s="5"/>
      <x:c r="F59" s="7" t="str">
        <x:f>IF(A59="","",IF(L59="","",VALUE(L59)/10^K59))</x:f>
      </x:c>
      <x:c r="G59" s="13"/>
      <x:c r="H59" s="5"/>
      <x:c r="I59" s="5"/>
      <x:c r="J59" s="5"/>
      <x:c r="K59" s="6"/>
      <x:c r="L59" s="13"/>
      <x:c r="M59" s="5"/>
      <x:c r="N59" s="5"/>
      <x:c r="O59" s="5"/>
      <x:c r="P59" s="5"/>
      <x:c r="Q59" s="6"/>
      <x:c r="R59" s="5"/>
      <x:c r="S59" s="5"/>
      <x:c r="T59" s="5"/>
      <x:c r="U59" s="5"/>
      <x:c r="V59" s="5"/>
      <x:c r="W59" s="5"/>
      <x:c r="X59" s="5"/>
    </x:row>
    <x:row r="60" ht="24" customHeight="1">
      <x:c r="A60" s="5"/>
      <x:c r="B60" s="8"/>
      <x:c r="C60" s="5"/>
      <x:c r="D60" s="5"/>
      <x:c r="E60" s="5"/>
      <x:c r="F60" s="7" t="str">
        <x:f>IF(A60="","",IF(L60="","",VALUE(L60)/10^K60))</x:f>
      </x:c>
      <x:c r="G60" s="13"/>
      <x:c r="H60" s="5"/>
      <x:c r="I60" s="5"/>
      <x:c r="J60" s="5"/>
      <x:c r="K60" s="6"/>
      <x:c r="L60" s="13"/>
      <x:c r="M60" s="5"/>
      <x:c r="N60" s="5"/>
      <x:c r="O60" s="5"/>
      <x:c r="P60" s="5"/>
      <x:c r="Q60" s="6"/>
      <x:c r="R60" s="5"/>
      <x:c r="S60" s="5"/>
      <x:c r="T60" s="5"/>
      <x:c r="U60" s="5"/>
      <x:c r="V60" s="5"/>
      <x:c r="W60" s="5"/>
      <x:c r="X60" s="5"/>
    </x:row>
    <x:row r="61" ht="24" customHeight="1">
      <x:c r="A61" s="5"/>
      <x:c r="B61" s="8"/>
      <x:c r="C61" s="5"/>
      <x:c r="D61" s="5"/>
      <x:c r="E61" s="5"/>
      <x:c r="F61" s="7" t="str">
        <x:f>IF(A61="","",IF(L61="","",VALUE(L61)/10^K61))</x:f>
      </x:c>
      <x:c r="G61" s="13"/>
      <x:c r="H61" s="5"/>
      <x:c r="I61" s="5"/>
      <x:c r="J61" s="5"/>
      <x:c r="K61" s="6"/>
      <x:c r="L61" s="13"/>
      <x:c r="M61" s="5"/>
      <x:c r="N61" s="5"/>
      <x:c r="O61" s="5"/>
      <x:c r="P61" s="5"/>
      <x:c r="Q61" s="6"/>
      <x:c r="R61" s="5"/>
      <x:c r="S61" s="5"/>
      <x:c r="T61" s="5"/>
      <x:c r="U61" s="5"/>
      <x:c r="V61" s="5"/>
      <x:c r="W61" s="5"/>
      <x:c r="X61" s="5"/>
    </x:row>
    <x:row r="62" ht="24" customHeight="1">
      <x:c r="A62" s="5"/>
      <x:c r="B62" s="8"/>
      <x:c r="C62" s="5"/>
      <x:c r="D62" s="5"/>
      <x:c r="E62" s="5"/>
      <x:c r="F62" s="7" t="str">
        <x:f>IF(A62="","",IF(L62="","",VALUE(L62)/10^K62))</x:f>
      </x:c>
      <x:c r="G62" s="13"/>
      <x:c r="H62" s="5"/>
      <x:c r="I62" s="5"/>
      <x:c r="J62" s="5"/>
      <x:c r="K62" s="6"/>
      <x:c r="L62" s="13"/>
      <x:c r="M62" s="5"/>
      <x:c r="N62" s="5"/>
      <x:c r="O62" s="5"/>
      <x:c r="P62" s="5"/>
      <x:c r="Q62" s="6"/>
      <x:c r="R62" s="5"/>
      <x:c r="S62" s="5"/>
      <x:c r="T62" s="5"/>
      <x:c r="U62" s="5"/>
      <x:c r="V62" s="5"/>
      <x:c r="W62" s="5"/>
      <x:c r="X62" s="5"/>
    </x:row>
    <x:row r="63" ht="24" customHeight="1">
      <x:c r="A63" s="5"/>
      <x:c r="B63" s="8"/>
      <x:c r="C63" s="5"/>
      <x:c r="D63" s="5"/>
      <x:c r="E63" s="5"/>
      <x:c r="F63" s="7" t="str">
        <x:f>IF(A63="","",IF(L63="","",VALUE(L63)/10^K63))</x:f>
      </x:c>
      <x:c r="G63" s="13"/>
      <x:c r="H63" s="5"/>
      <x:c r="I63" s="5"/>
      <x:c r="J63" s="5"/>
      <x:c r="K63" s="6"/>
      <x:c r="L63" s="13"/>
      <x:c r="M63" s="5"/>
      <x:c r="N63" s="5"/>
      <x:c r="O63" s="5"/>
      <x:c r="P63" s="5"/>
      <x:c r="Q63" s="6"/>
      <x:c r="R63" s="5"/>
      <x:c r="S63" s="5"/>
      <x:c r="T63" s="5"/>
      <x:c r="U63" s="5"/>
      <x:c r="V63" s="5"/>
      <x:c r="W63" s="5"/>
      <x:c r="X63" s="5"/>
    </x:row>
    <x:row r="64" ht="24" customHeight="1">
      <x:c r="A64" s="5"/>
      <x:c r="B64" s="8"/>
      <x:c r="C64" s="5"/>
      <x:c r="D64" s="5"/>
      <x:c r="E64" s="5"/>
      <x:c r="F64" s="7" t="str">
        <x:f>IF(A64="","",IF(L64="","",VALUE(L64)/10^K64))</x:f>
      </x:c>
      <x:c r="G64" s="13"/>
      <x:c r="H64" s="5"/>
      <x:c r="I64" s="5"/>
      <x:c r="J64" s="5"/>
      <x:c r="K64" s="6"/>
      <x:c r="L64" s="13"/>
      <x:c r="M64" s="5"/>
      <x:c r="N64" s="5"/>
      <x:c r="O64" s="5"/>
      <x:c r="P64" s="5"/>
      <x:c r="Q64" s="6"/>
      <x:c r="R64" s="5"/>
      <x:c r="S64" s="5"/>
      <x:c r="T64" s="5"/>
      <x:c r="U64" s="5"/>
      <x:c r="V64" s="5"/>
      <x:c r="W64" s="5"/>
      <x:c r="X64" s="5"/>
    </x:row>
    <x:row r="65" ht="24" customHeight="1">
      <x:c r="A65" s="5"/>
      <x:c r="B65" s="8"/>
      <x:c r="C65" s="5"/>
      <x:c r="D65" s="5"/>
      <x:c r="E65" s="5"/>
      <x:c r="F65" s="7" t="str">
        <x:f>IF(A65="","",IF(L65="","",VALUE(L65)/10^K65))</x:f>
      </x:c>
      <x:c r="G65" s="13"/>
      <x:c r="H65" s="5"/>
      <x:c r="I65" s="5"/>
      <x:c r="J65" s="5"/>
      <x:c r="K65" s="6"/>
      <x:c r="L65" s="13"/>
      <x:c r="M65" s="5"/>
      <x:c r="N65" s="5"/>
      <x:c r="O65" s="5"/>
      <x:c r="P65" s="5"/>
      <x:c r="Q65" s="6"/>
      <x:c r="R65" s="5"/>
      <x:c r="S65" s="5"/>
      <x:c r="T65" s="5"/>
      <x:c r="U65" s="5"/>
      <x:c r="V65" s="5"/>
      <x:c r="W65" s="5"/>
      <x:c r="X65" s="5"/>
    </x:row>
    <x:row r="66" ht="24" customHeight="1">
      <x:c r="A66" s="5"/>
      <x:c r="B66" s="8"/>
      <x:c r="C66" s="5"/>
      <x:c r="D66" s="5"/>
      <x:c r="E66" s="5"/>
      <x:c r="F66" s="7" t="str">
        <x:f>IF(A66="","",IF(L66="","",VALUE(L66)/10^K66))</x:f>
      </x:c>
      <x:c r="G66" s="13"/>
      <x:c r="H66" s="5"/>
      <x:c r="I66" s="5"/>
      <x:c r="J66" s="5"/>
      <x:c r="K66" s="6"/>
      <x:c r="L66" s="13"/>
      <x:c r="M66" s="5"/>
      <x:c r="N66" s="5"/>
      <x:c r="O66" s="5"/>
      <x:c r="P66" s="5"/>
      <x:c r="Q66" s="6"/>
      <x:c r="R66" s="5"/>
      <x:c r="S66" s="5"/>
      <x:c r="T66" s="5"/>
      <x:c r="U66" s="5"/>
      <x:c r="V66" s="5"/>
      <x:c r="W66" s="5"/>
      <x:c r="X66" s="5"/>
    </x:row>
    <x:row r="67" ht="24" customHeight="1">
      <x:c r="A67" s="5"/>
      <x:c r="B67" s="8"/>
      <x:c r="C67" s="5"/>
      <x:c r="D67" s="5"/>
      <x:c r="E67" s="5"/>
      <x:c r="F67" s="7" t="str">
        <x:f>IF(A67="","",IF(L67="","",VALUE(L67)/10^K67))</x:f>
      </x:c>
      <x:c r="G67" s="13"/>
      <x:c r="H67" s="5"/>
      <x:c r="I67" s="5"/>
      <x:c r="J67" s="5"/>
      <x:c r="K67" s="6"/>
      <x:c r="L67" s="13"/>
      <x:c r="M67" s="5"/>
      <x:c r="N67" s="5"/>
      <x:c r="O67" s="5"/>
      <x:c r="P67" s="5"/>
      <x:c r="Q67" s="6"/>
      <x:c r="R67" s="5"/>
      <x:c r="S67" s="5"/>
      <x:c r="T67" s="5"/>
      <x:c r="U67" s="5"/>
      <x:c r="V67" s="5"/>
      <x:c r="W67" s="5"/>
      <x:c r="X67" s="5"/>
    </x:row>
    <x:row r="68" ht="24" customHeight="1">
      <x:c r="A68" s="5"/>
      <x:c r="B68" s="8"/>
      <x:c r="C68" s="5"/>
      <x:c r="D68" s="5"/>
      <x:c r="E68" s="5"/>
      <x:c r="F68" s="7" t="str">
        <x:f>IF(A68="","",IF(L68="","",VALUE(L68)/10^K68))</x:f>
      </x:c>
      <x:c r="G68" s="13"/>
      <x:c r="H68" s="5"/>
      <x:c r="I68" s="5"/>
      <x:c r="J68" s="5"/>
      <x:c r="K68" s="6"/>
      <x:c r="L68" s="13"/>
      <x:c r="M68" s="5"/>
      <x:c r="N68" s="5"/>
      <x:c r="O68" s="5"/>
      <x:c r="P68" s="5"/>
      <x:c r="Q68" s="6"/>
      <x:c r="R68" s="5"/>
      <x:c r="S68" s="5"/>
      <x:c r="T68" s="5"/>
      <x:c r="U68" s="5"/>
      <x:c r="V68" s="5"/>
      <x:c r="W68" s="5"/>
      <x:c r="X68" s="5"/>
    </x:row>
    <x:row r="69" ht="24" customHeight="1">
      <x:c r="A69" s="5"/>
      <x:c r="B69" s="8"/>
      <x:c r="C69" s="5"/>
      <x:c r="D69" s="5"/>
      <x:c r="E69" s="5"/>
      <x:c r="F69" s="7" t="str">
        <x:f>IF(A69="","",IF(L69="","",VALUE(L69)/10^K69))</x:f>
      </x:c>
      <x:c r="G69" s="13"/>
      <x:c r="H69" s="5"/>
      <x:c r="I69" s="5"/>
      <x:c r="J69" s="5"/>
      <x:c r="K69" s="6"/>
      <x:c r="L69" s="13"/>
      <x:c r="M69" s="5"/>
      <x:c r="N69" s="5"/>
      <x:c r="O69" s="5"/>
      <x:c r="P69" s="5"/>
      <x:c r="Q69" s="6"/>
      <x:c r="R69" s="5"/>
      <x:c r="S69" s="5"/>
      <x:c r="T69" s="5"/>
      <x:c r="U69" s="5"/>
      <x:c r="V69" s="5"/>
      <x:c r="W69" s="5"/>
      <x:c r="X69" s="5"/>
    </x:row>
    <x:row r="70" ht="24" customHeight="1">
      <x:c r="A70" s="5"/>
      <x:c r="B70" s="8"/>
      <x:c r="C70" s="5"/>
      <x:c r="D70" s="5"/>
      <x:c r="E70" s="5"/>
      <x:c r="F70" s="7" t="str">
        <x:f>IF(A70="","",IF(L70="","",VALUE(L70)/10^K70))</x:f>
      </x:c>
      <x:c r="G70" s="13"/>
      <x:c r="H70" s="5"/>
      <x:c r="I70" s="5"/>
      <x:c r="J70" s="5"/>
      <x:c r="K70" s="6"/>
      <x:c r="L70" s="13"/>
      <x:c r="M70" s="5"/>
      <x:c r="N70" s="5"/>
      <x:c r="O70" s="5"/>
      <x:c r="P70" s="5"/>
      <x:c r="Q70" s="6"/>
      <x:c r="R70" s="5"/>
      <x:c r="S70" s="5"/>
      <x:c r="T70" s="5"/>
      <x:c r="U70" s="5"/>
      <x:c r="V70" s="5"/>
      <x:c r="W70" s="5"/>
      <x:c r="X70" s="5"/>
    </x:row>
    <x:row r="71" ht="24" customHeight="1">
      <x:c r="A71" s="5"/>
      <x:c r="B71" s="8"/>
      <x:c r="C71" s="5"/>
      <x:c r="D71" s="5"/>
      <x:c r="E71" s="5"/>
      <x:c r="F71" s="7" t="str">
        <x:f>IF(A71="","",IF(L71="","",VALUE(L71)/10^K71))</x:f>
      </x:c>
      <x:c r="G71" s="13"/>
      <x:c r="H71" s="5"/>
      <x:c r="I71" s="5"/>
      <x:c r="J71" s="5"/>
      <x:c r="K71" s="6"/>
      <x:c r="L71" s="13"/>
      <x:c r="M71" s="5"/>
      <x:c r="N71" s="5"/>
      <x:c r="O71" s="5"/>
      <x:c r="P71" s="5"/>
      <x:c r="Q71" s="6"/>
      <x:c r="R71" s="5"/>
      <x:c r="S71" s="5"/>
      <x:c r="T71" s="5"/>
      <x:c r="U71" s="5"/>
      <x:c r="V71" s="5"/>
      <x:c r="W71" s="5"/>
      <x:c r="X71" s="5"/>
    </x:row>
    <x:row r="72" ht="24" customHeight="1">
      <x:c r="A72" s="5"/>
      <x:c r="B72" s="8"/>
      <x:c r="C72" s="5"/>
      <x:c r="D72" s="5"/>
      <x:c r="E72" s="5"/>
      <x:c r="F72" s="7" t="str">
        <x:f>IF(A72="","",IF(L72="","",VALUE(L72)/10^K72))</x:f>
      </x:c>
      <x:c r="G72" s="13"/>
      <x:c r="H72" s="5"/>
      <x:c r="I72" s="5"/>
      <x:c r="J72" s="5"/>
      <x:c r="K72" s="6"/>
      <x:c r="L72" s="13"/>
      <x:c r="M72" s="5"/>
      <x:c r="N72" s="5"/>
      <x:c r="O72" s="5"/>
      <x:c r="P72" s="5"/>
      <x:c r="Q72" s="6"/>
      <x:c r="R72" s="5"/>
      <x:c r="S72" s="5"/>
      <x:c r="T72" s="5"/>
      <x:c r="U72" s="5"/>
      <x:c r="V72" s="5"/>
      <x:c r="W72" s="5"/>
      <x:c r="X72" s="5"/>
    </x:row>
    <x:row r="73" ht="24" customHeight="1">
      <x:c r="A73" s="5"/>
      <x:c r="B73" s="8"/>
      <x:c r="C73" s="5"/>
      <x:c r="D73" s="5"/>
      <x:c r="E73" s="5"/>
      <x:c r="F73" s="7" t="str">
        <x:f>IF(A73="","",IF(L73="","",VALUE(L73)/10^K73))</x:f>
      </x:c>
      <x:c r="G73" s="13"/>
      <x:c r="H73" s="5"/>
      <x:c r="I73" s="5"/>
      <x:c r="J73" s="5"/>
      <x:c r="K73" s="6"/>
      <x:c r="L73" s="13"/>
      <x:c r="M73" s="5"/>
      <x:c r="N73" s="5"/>
      <x:c r="O73" s="5"/>
      <x:c r="P73" s="5"/>
      <x:c r="Q73" s="6"/>
      <x:c r="R73" s="5"/>
      <x:c r="S73" s="5"/>
      <x:c r="T73" s="5"/>
      <x:c r="U73" s="5"/>
      <x:c r="V73" s="5"/>
      <x:c r="W73" s="5"/>
      <x:c r="X73" s="5"/>
    </x:row>
    <x:row r="74" ht="24" customHeight="1">
      <x:c r="A74" s="5"/>
      <x:c r="B74" s="8"/>
      <x:c r="C74" s="5"/>
      <x:c r="D74" s="5"/>
      <x:c r="E74" s="5"/>
      <x:c r="F74" s="7" t="str">
        <x:f>IF(A74="","",IF(L74="","",VALUE(L74)/10^K74))</x:f>
      </x:c>
      <x:c r="G74" s="13"/>
      <x:c r="H74" s="5"/>
      <x:c r="I74" s="5"/>
      <x:c r="J74" s="5"/>
      <x:c r="K74" s="6"/>
      <x:c r="L74" s="13"/>
      <x:c r="M74" s="5"/>
      <x:c r="N74" s="5"/>
      <x:c r="O74" s="5"/>
      <x:c r="P74" s="5"/>
      <x:c r="Q74" s="6"/>
      <x:c r="R74" s="5"/>
      <x:c r="S74" s="5"/>
      <x:c r="T74" s="5"/>
      <x:c r="U74" s="5"/>
      <x:c r="V74" s="5"/>
      <x:c r="W74" s="5"/>
      <x:c r="X74" s="5"/>
    </x:row>
    <x:row r="75" ht="24" customHeight="1">
      <x:c r="A75" s="5"/>
      <x:c r="B75" s="8"/>
      <x:c r="C75" s="5"/>
      <x:c r="D75" s="5"/>
      <x:c r="E75" s="5"/>
      <x:c r="F75" s="7" t="str">
        <x:f>IF(A75="","",IF(L75="","",VALUE(L75)/10^K75))</x:f>
      </x:c>
      <x:c r="G75" s="13"/>
      <x:c r="H75" s="5"/>
      <x:c r="I75" s="5"/>
      <x:c r="J75" s="5"/>
      <x:c r="K75" s="6"/>
      <x:c r="L75" s="13"/>
      <x:c r="M75" s="5"/>
      <x:c r="N75" s="5"/>
      <x:c r="O75" s="5"/>
      <x:c r="P75" s="5"/>
      <x:c r="Q75" s="6"/>
      <x:c r="R75" s="5"/>
      <x:c r="S75" s="5"/>
      <x:c r="T75" s="5"/>
      <x:c r="U75" s="5"/>
      <x:c r="V75" s="5"/>
      <x:c r="W75" s="5"/>
      <x:c r="X75" s="5"/>
    </x:row>
    <x:row r="76" ht="24" customHeight="1">
      <x:c r="A76" s="5"/>
      <x:c r="B76" s="8"/>
      <x:c r="C76" s="5"/>
      <x:c r="D76" s="5"/>
      <x:c r="E76" s="5"/>
      <x:c r="F76" s="7" t="str">
        <x:f>IF(A76="","",IF(L76="","",VALUE(L76)/10^K76))</x:f>
      </x:c>
      <x:c r="G76" s="13"/>
      <x:c r="H76" s="5"/>
      <x:c r="I76" s="5"/>
      <x:c r="J76" s="5"/>
      <x:c r="K76" s="6"/>
      <x:c r="L76" s="13"/>
      <x:c r="M76" s="5"/>
      <x:c r="N76" s="5"/>
      <x:c r="O76" s="5"/>
      <x:c r="P76" s="5"/>
      <x:c r="Q76" s="6"/>
      <x:c r="R76" s="5"/>
      <x:c r="S76" s="5"/>
      <x:c r="T76" s="5"/>
      <x:c r="U76" s="5"/>
      <x:c r="V76" s="5"/>
      <x:c r="W76" s="5"/>
      <x:c r="X76" s="5"/>
    </x:row>
    <x:row r="77" ht="24" customHeight="1">
      <x:c r="A77" s="5"/>
      <x:c r="B77" s="8"/>
      <x:c r="C77" s="5"/>
      <x:c r="D77" s="5"/>
      <x:c r="E77" s="5"/>
      <x:c r="F77" s="7" t="str">
        <x:f>IF(A77="","",IF(L77="","",VALUE(L77)/10^K77))</x:f>
      </x:c>
      <x:c r="G77" s="13"/>
      <x:c r="H77" s="5"/>
      <x:c r="I77" s="5"/>
      <x:c r="J77" s="5"/>
      <x:c r="K77" s="6"/>
      <x:c r="L77" s="13"/>
      <x:c r="M77" s="5"/>
      <x:c r="N77" s="5"/>
      <x:c r="O77" s="5"/>
      <x:c r="P77" s="5"/>
      <x:c r="Q77" s="6"/>
      <x:c r="R77" s="5"/>
      <x:c r="S77" s="5"/>
      <x:c r="T77" s="5"/>
      <x:c r="U77" s="5"/>
      <x:c r="V77" s="5"/>
      <x:c r="W77" s="5"/>
      <x:c r="X77" s="5"/>
    </x:row>
    <x:row r="78" ht="24" customHeight="1">
      <x:c r="A78" s="5"/>
      <x:c r="B78" s="8"/>
      <x:c r="C78" s="5"/>
      <x:c r="D78" s="5"/>
      <x:c r="E78" s="5"/>
      <x:c r="F78" s="7" t="str">
        <x:f>IF(A78="","",IF(L78="","",VALUE(L78)/10^K78))</x:f>
      </x:c>
      <x:c r="G78" s="13"/>
      <x:c r="H78" s="5"/>
      <x:c r="I78" s="5"/>
      <x:c r="J78" s="5"/>
      <x:c r="K78" s="6"/>
      <x:c r="L78" s="13"/>
      <x:c r="M78" s="5"/>
      <x:c r="N78" s="5"/>
      <x:c r="O78" s="5"/>
      <x:c r="P78" s="5"/>
      <x:c r="Q78" s="6"/>
      <x:c r="R78" s="5"/>
      <x:c r="S78" s="5"/>
      <x:c r="T78" s="5"/>
      <x:c r="U78" s="5"/>
      <x:c r="V78" s="5"/>
      <x:c r="W78" s="5"/>
      <x:c r="X78" s="5"/>
    </x:row>
    <x:row r="79" ht="24" customHeight="1">
      <x:c r="A79" s="5"/>
      <x:c r="B79" s="8"/>
      <x:c r="C79" s="5"/>
      <x:c r="D79" s="5"/>
      <x:c r="E79" s="5"/>
      <x:c r="F79" s="7" t="str">
        <x:f>IF(A79="","",IF(L79="","",VALUE(L79)/10^K79))</x:f>
      </x:c>
      <x:c r="G79" s="13"/>
      <x:c r="H79" s="5"/>
      <x:c r="I79" s="5"/>
      <x:c r="J79" s="5"/>
      <x:c r="K79" s="6"/>
      <x:c r="L79" s="13"/>
      <x:c r="M79" s="5"/>
      <x:c r="N79" s="5"/>
      <x:c r="O79" s="5"/>
      <x:c r="P79" s="5"/>
      <x:c r="Q79" s="6"/>
      <x:c r="R79" s="5"/>
      <x:c r="S79" s="5"/>
      <x:c r="T79" s="5"/>
      <x:c r="U79" s="5"/>
      <x:c r="V79" s="5"/>
      <x:c r="W79" s="5"/>
      <x:c r="X79" s="5"/>
    </x:row>
    <x:row r="80" ht="24" customHeight="1">
      <x:c r="A80" s="5"/>
      <x:c r="B80" s="8"/>
      <x:c r="C80" s="5"/>
      <x:c r="D80" s="5"/>
      <x:c r="E80" s="5"/>
      <x:c r="F80" s="7" t="str">
        <x:f>IF(A80="","",IF(L80="","",VALUE(L80)/10^K80))</x:f>
      </x:c>
      <x:c r="G80" s="13"/>
      <x:c r="H80" s="5"/>
      <x:c r="I80" s="5"/>
      <x:c r="J80" s="5"/>
      <x:c r="K80" s="6"/>
      <x:c r="L80" s="13"/>
      <x:c r="M80" s="5"/>
      <x:c r="N80" s="5"/>
      <x:c r="O80" s="5"/>
      <x:c r="P80" s="5"/>
      <x:c r="Q80" s="6"/>
      <x:c r="R80" s="5"/>
      <x:c r="S80" s="5"/>
      <x:c r="T80" s="5"/>
      <x:c r="U80" s="5"/>
      <x:c r="V80" s="5"/>
      <x:c r="W80" s="5"/>
      <x:c r="X80" s="5"/>
    </x:row>
    <x:row r="81" ht="24" customHeight="1">
      <x:c r="A81" s="5"/>
      <x:c r="B81" s="8"/>
      <x:c r="C81" s="5"/>
      <x:c r="D81" s="5"/>
      <x:c r="E81" s="5"/>
      <x:c r="F81" s="7" t="str">
        <x:f>IF(A81="","",IF(L81="","",VALUE(L81)/10^K81))</x:f>
      </x:c>
      <x:c r="G81" s="13"/>
      <x:c r="H81" s="5"/>
      <x:c r="I81" s="5"/>
      <x:c r="J81" s="5"/>
      <x:c r="K81" s="6"/>
      <x:c r="L81" s="13"/>
      <x:c r="M81" s="5"/>
      <x:c r="N81" s="5"/>
      <x:c r="O81" s="5"/>
      <x:c r="P81" s="5"/>
      <x:c r="Q81" s="6"/>
      <x:c r="R81" s="5"/>
      <x:c r="S81" s="5"/>
      <x:c r="T81" s="5"/>
      <x:c r="U81" s="5"/>
      <x:c r="V81" s="5"/>
      <x:c r="W81" s="5"/>
      <x:c r="X81" s="5"/>
    </x:row>
    <x:row r="82" ht="24" customHeight="1">
      <x:c r="A82" s="5"/>
      <x:c r="B82" s="8"/>
      <x:c r="C82" s="5"/>
      <x:c r="D82" s="5"/>
      <x:c r="E82" s="5"/>
      <x:c r="F82" s="7" t="str">
        <x:f>IF(A82="","",IF(L82="","",VALUE(L82)/10^K82))</x:f>
      </x:c>
      <x:c r="G82" s="13"/>
      <x:c r="H82" s="5"/>
      <x:c r="I82" s="5"/>
      <x:c r="J82" s="5"/>
      <x:c r="K82" s="6"/>
      <x:c r="L82" s="13"/>
      <x:c r="M82" s="5"/>
      <x:c r="N82" s="5"/>
      <x:c r="O82" s="5"/>
      <x:c r="P82" s="5"/>
      <x:c r="Q82" s="6"/>
      <x:c r="R82" s="5"/>
      <x:c r="S82" s="5"/>
      <x:c r="T82" s="5"/>
      <x:c r="U82" s="5"/>
      <x:c r="V82" s="5"/>
      <x:c r="W82" s="5"/>
      <x:c r="X82" s="5"/>
    </x:row>
    <x:row r="83" ht="24" customHeight="1">
      <x:c r="A83" s="5"/>
      <x:c r="B83" s="8"/>
      <x:c r="C83" s="5"/>
      <x:c r="D83" s="5"/>
      <x:c r="E83" s="5"/>
      <x:c r="F83" s="7" t="str">
        <x:f>IF(A83="","",IF(L83="","",VALUE(L83)/10^K83))</x:f>
      </x:c>
      <x:c r="G83" s="13"/>
      <x:c r="H83" s="5"/>
      <x:c r="I83" s="5"/>
      <x:c r="J83" s="5"/>
      <x:c r="K83" s="6"/>
      <x:c r="L83" s="13"/>
      <x:c r="M83" s="5"/>
      <x:c r="N83" s="5"/>
      <x:c r="O83" s="5"/>
      <x:c r="P83" s="5"/>
      <x:c r="Q83" s="6"/>
      <x:c r="R83" s="5"/>
      <x:c r="S83" s="5"/>
      <x:c r="T83" s="5"/>
      <x:c r="U83" s="5"/>
      <x:c r="V83" s="5"/>
      <x:c r="W83" s="5"/>
      <x:c r="X83" s="5"/>
    </x:row>
    <x:row r="84" ht="24" customHeight="1">
      <x:c r="A84" s="5"/>
      <x:c r="B84" s="8"/>
      <x:c r="C84" s="5"/>
      <x:c r="D84" s="5"/>
      <x:c r="E84" s="5"/>
      <x:c r="F84" s="7" t="str">
        <x:f>IF(A84="","",IF(L84="","",VALUE(L84)/10^K84))</x:f>
      </x:c>
      <x:c r="G84" s="13"/>
      <x:c r="H84" s="5"/>
      <x:c r="I84" s="5"/>
      <x:c r="J84" s="5"/>
      <x:c r="K84" s="6"/>
      <x:c r="L84" s="13"/>
      <x:c r="M84" s="5"/>
      <x:c r="N84" s="5"/>
      <x:c r="O84" s="5"/>
      <x:c r="P84" s="5"/>
      <x:c r="Q84" s="6"/>
      <x:c r="R84" s="5"/>
      <x:c r="S84" s="5"/>
      <x:c r="T84" s="5"/>
      <x:c r="U84" s="5"/>
      <x:c r="V84" s="5"/>
      <x:c r="W84" s="5"/>
      <x:c r="X84" s="5"/>
    </x:row>
    <x:row r="85" ht="24" customHeight="1">
      <x:c r="A85" s="5"/>
      <x:c r="B85" s="8"/>
      <x:c r="C85" s="5"/>
      <x:c r="D85" s="5"/>
      <x:c r="E85" s="5"/>
      <x:c r="F85" s="7" t="str">
        <x:f>IF(A85="","",IF(L85="","",VALUE(L85)/10^K85))</x:f>
      </x:c>
      <x:c r="G85" s="13"/>
      <x:c r="H85" s="5"/>
      <x:c r="I85" s="5"/>
      <x:c r="J85" s="5"/>
      <x:c r="K85" s="6"/>
      <x:c r="L85" s="13"/>
      <x:c r="M85" s="5"/>
      <x:c r="N85" s="5"/>
      <x:c r="O85" s="5"/>
      <x:c r="P85" s="5"/>
      <x:c r="Q85" s="6"/>
      <x:c r="R85" s="5"/>
      <x:c r="S85" s="5"/>
      <x:c r="T85" s="5"/>
      <x:c r="U85" s="5"/>
      <x:c r="V85" s="5"/>
      <x:c r="W85" s="5"/>
      <x:c r="X85" s="5"/>
    </x:row>
    <x:row r="86" ht="24" customHeight="1">
      <x:c r="A86" s="5"/>
      <x:c r="B86" s="8"/>
      <x:c r="C86" s="5"/>
      <x:c r="D86" s="5"/>
      <x:c r="E86" s="5"/>
      <x:c r="F86" s="7" t="str">
        <x:f>IF(A86="","",IF(L86="","",VALUE(L86)/10^K86))</x:f>
      </x:c>
      <x:c r="G86" s="13"/>
      <x:c r="H86" s="5"/>
      <x:c r="I86" s="5"/>
      <x:c r="J86" s="5"/>
      <x:c r="K86" s="6"/>
      <x:c r="L86" s="13"/>
      <x:c r="M86" s="5"/>
      <x:c r="N86" s="5"/>
      <x:c r="O86" s="5"/>
      <x:c r="P86" s="5"/>
      <x:c r="Q86" s="6"/>
      <x:c r="R86" s="5"/>
      <x:c r="S86" s="5"/>
      <x:c r="T86" s="5"/>
      <x:c r="U86" s="5"/>
      <x:c r="V86" s="5"/>
      <x:c r="W86" s="5"/>
      <x:c r="X86" s="5"/>
    </x:row>
    <x:row r="87" ht="24" customHeight="1">
      <x:c r="A87" s="5"/>
      <x:c r="B87" s="8"/>
      <x:c r="C87" s="5"/>
      <x:c r="D87" s="5"/>
      <x:c r="E87" s="5"/>
      <x:c r="F87" s="7" t="str">
        <x:f>IF(A87="","",IF(L87="","",VALUE(L87)/10^K87))</x:f>
      </x:c>
      <x:c r="G87" s="13"/>
      <x:c r="H87" s="5"/>
      <x:c r="I87" s="5"/>
      <x:c r="J87" s="5"/>
      <x:c r="K87" s="6"/>
      <x:c r="L87" s="13"/>
      <x:c r="M87" s="5"/>
      <x:c r="N87" s="5"/>
      <x:c r="O87" s="5"/>
      <x:c r="P87" s="5"/>
      <x:c r="Q87" s="6"/>
      <x:c r="R87" s="5"/>
      <x:c r="S87" s="5"/>
      <x:c r="T87" s="5"/>
      <x:c r="U87" s="5"/>
      <x:c r="V87" s="5"/>
      <x:c r="W87" s="5"/>
      <x:c r="X87" s="5"/>
    </x:row>
    <x:row r="88" ht="24" customHeight="1">
      <x:c r="A88" s="5"/>
      <x:c r="B88" s="8"/>
      <x:c r="C88" s="5"/>
      <x:c r="D88" s="5"/>
      <x:c r="E88" s="5"/>
      <x:c r="F88" s="7" t="str">
        <x:f>IF(A88="","",IF(L88="","",VALUE(L88)/10^K88))</x:f>
      </x:c>
      <x:c r="G88" s="13"/>
      <x:c r="H88" s="5"/>
      <x:c r="I88" s="5"/>
      <x:c r="J88" s="5"/>
      <x:c r="K88" s="6"/>
      <x:c r="L88" s="13"/>
      <x:c r="M88" s="5"/>
      <x:c r="N88" s="5"/>
      <x:c r="O88" s="5"/>
      <x:c r="P88" s="5"/>
      <x:c r="Q88" s="6"/>
      <x:c r="R88" s="5"/>
      <x:c r="S88" s="5"/>
      <x:c r="T88" s="5"/>
      <x:c r="U88" s="5"/>
      <x:c r="V88" s="5"/>
      <x:c r="W88" s="5"/>
      <x:c r="X88" s="5"/>
    </x:row>
    <x:row r="89" ht="24" customHeight="1">
      <x:c r="A89" s="5"/>
      <x:c r="B89" s="8"/>
      <x:c r="C89" s="5"/>
      <x:c r="D89" s="5"/>
      <x:c r="E89" s="5"/>
      <x:c r="F89" s="7" t="str">
        <x:f>IF(A89="","",IF(L89="","",VALUE(L89)/10^K89))</x:f>
      </x:c>
      <x:c r="G89" s="13"/>
      <x:c r="H89" s="5"/>
      <x:c r="I89" s="5"/>
      <x:c r="J89" s="5"/>
      <x:c r="K89" s="6"/>
      <x:c r="L89" s="13"/>
      <x:c r="M89" s="5"/>
      <x:c r="N89" s="5"/>
      <x:c r="O89" s="5"/>
      <x:c r="P89" s="5"/>
      <x:c r="Q89" s="6"/>
      <x:c r="R89" s="5"/>
      <x:c r="S89" s="5"/>
      <x:c r="T89" s="5"/>
      <x:c r="U89" s="5"/>
      <x:c r="V89" s="5"/>
      <x:c r="W89" s="5"/>
      <x:c r="X89" s="5"/>
    </x:row>
    <x:row r="90" ht="24" customHeight="1">
      <x:c r="A90" s="5"/>
      <x:c r="B90" s="8"/>
      <x:c r="C90" s="5"/>
      <x:c r="D90" s="5"/>
      <x:c r="E90" s="5"/>
      <x:c r="F90" s="7" t="str">
        <x:f>IF(A90="","",IF(L90="","",VALUE(L90)/10^K90))</x:f>
      </x:c>
      <x:c r="G90" s="13"/>
      <x:c r="H90" s="5"/>
      <x:c r="I90" s="5"/>
      <x:c r="J90" s="5"/>
      <x:c r="K90" s="6"/>
      <x:c r="L90" s="13"/>
      <x:c r="M90" s="5"/>
      <x:c r="N90" s="5"/>
      <x:c r="O90" s="5"/>
      <x:c r="P90" s="5"/>
      <x:c r="Q90" s="6"/>
      <x:c r="R90" s="5"/>
      <x:c r="S90" s="5"/>
      <x:c r="T90" s="5"/>
      <x:c r="U90" s="5"/>
      <x:c r="V90" s="5"/>
      <x:c r="W90" s="5"/>
      <x:c r="X90" s="5"/>
    </x:row>
    <x:row r="91" ht="24" customHeight="1">
      <x:c r="A91" s="5"/>
      <x:c r="B91" s="8"/>
      <x:c r="C91" s="5"/>
      <x:c r="D91" s="5"/>
      <x:c r="E91" s="5"/>
      <x:c r="F91" s="7" t="str">
        <x:f>IF(A91="","",IF(L91="","",VALUE(L91)/10^K91))</x:f>
      </x:c>
      <x:c r="G91" s="13"/>
      <x:c r="H91" s="5"/>
      <x:c r="I91" s="5"/>
      <x:c r="J91" s="5"/>
      <x:c r="K91" s="6"/>
      <x:c r="L91" s="13"/>
      <x:c r="M91" s="5"/>
      <x:c r="N91" s="5"/>
      <x:c r="O91" s="5"/>
      <x:c r="P91" s="5"/>
      <x:c r="Q91" s="6"/>
      <x:c r="R91" s="5"/>
      <x:c r="S91" s="5"/>
      <x:c r="T91" s="5"/>
      <x:c r="U91" s="5"/>
      <x:c r="V91" s="5"/>
      <x:c r="W91" s="5"/>
      <x:c r="X91" s="5"/>
    </x:row>
    <x:row r="92" ht="24" customHeight="1">
      <x:c r="A92" s="5"/>
      <x:c r="B92" s="8"/>
      <x:c r="C92" s="5"/>
      <x:c r="D92" s="5"/>
      <x:c r="E92" s="5"/>
      <x:c r="F92" s="7" t="str">
        <x:f>IF(A92="","",IF(L92="","",VALUE(L92)/10^K92))</x:f>
      </x:c>
      <x:c r="G92" s="13"/>
      <x:c r="H92" s="5"/>
      <x:c r="I92" s="5"/>
      <x:c r="J92" s="5"/>
      <x:c r="K92" s="6"/>
      <x:c r="L92" s="13"/>
      <x:c r="M92" s="5"/>
      <x:c r="N92" s="5"/>
      <x:c r="O92" s="5"/>
      <x:c r="P92" s="5"/>
      <x:c r="Q92" s="6"/>
      <x:c r="R92" s="5"/>
      <x:c r="S92" s="5"/>
      <x:c r="T92" s="5"/>
      <x:c r="U92" s="5"/>
      <x:c r="V92" s="5"/>
      <x:c r="W92" s="5"/>
      <x:c r="X92" s="5"/>
    </x:row>
    <x:row r="93" ht="24" customHeight="1">
      <x:c r="A93" s="5"/>
      <x:c r="B93" s="8"/>
      <x:c r="C93" s="5"/>
      <x:c r="D93" s="5"/>
      <x:c r="E93" s="5"/>
      <x:c r="F93" s="7" t="str">
        <x:f>IF(A93="","",IF(L93="","",VALUE(L93)/10^K93))</x:f>
      </x:c>
      <x:c r="G93" s="13"/>
      <x:c r="H93" s="5"/>
      <x:c r="I93" s="5"/>
      <x:c r="J93" s="5"/>
      <x:c r="K93" s="6"/>
      <x:c r="L93" s="13"/>
      <x:c r="M93" s="5"/>
      <x:c r="N93" s="5"/>
      <x:c r="O93" s="5"/>
      <x:c r="P93" s="5"/>
      <x:c r="Q93" s="6"/>
      <x:c r="R93" s="5"/>
      <x:c r="S93" s="5"/>
      <x:c r="T93" s="5"/>
      <x:c r="U93" s="5"/>
      <x:c r="V93" s="5"/>
      <x:c r="W93" s="5"/>
      <x:c r="X93" s="5"/>
    </x:row>
    <x:row r="94" ht="24" customHeight="1">
      <x:c r="A94" s="5"/>
      <x:c r="B94" s="8"/>
      <x:c r="C94" s="5"/>
      <x:c r="D94" s="5"/>
      <x:c r="E94" s="5"/>
      <x:c r="F94" s="7" t="str">
        <x:f>IF(A94="","",IF(L94="","",VALUE(L94)/10^K94))</x:f>
      </x:c>
      <x:c r="G94" s="13"/>
      <x:c r="H94" s="5"/>
      <x:c r="I94" s="5"/>
      <x:c r="J94" s="5"/>
      <x:c r="K94" s="6"/>
      <x:c r="L94" s="13"/>
      <x:c r="M94" s="5"/>
      <x:c r="N94" s="5"/>
      <x:c r="O94" s="5"/>
      <x:c r="P94" s="5"/>
      <x:c r="Q94" s="6"/>
      <x:c r="R94" s="5"/>
      <x:c r="S94" s="5"/>
      <x:c r="T94" s="5"/>
      <x:c r="U94" s="5"/>
      <x:c r="V94" s="5"/>
      <x:c r="W94" s="5"/>
      <x:c r="X94" s="5"/>
    </x:row>
    <x:row r="95" ht="24" customHeight="1">
      <x:c r="A95" s="5"/>
      <x:c r="B95" s="8"/>
      <x:c r="C95" s="5"/>
      <x:c r="D95" s="5"/>
      <x:c r="E95" s="5"/>
      <x:c r="F95" s="7" t="str">
        <x:f>IF(A95="","",IF(L95="","",VALUE(L95)/10^K95))</x:f>
      </x:c>
      <x:c r="G95" s="13"/>
      <x:c r="H95" s="5"/>
      <x:c r="I95" s="5"/>
      <x:c r="J95" s="5"/>
      <x:c r="K95" s="6"/>
      <x:c r="L95" s="13"/>
      <x:c r="M95" s="5"/>
      <x:c r="N95" s="5"/>
      <x:c r="O95" s="5"/>
      <x:c r="P95" s="5"/>
      <x:c r="Q95" s="6"/>
      <x:c r="R95" s="5"/>
      <x:c r="S95" s="5"/>
      <x:c r="T95" s="5"/>
      <x:c r="U95" s="5"/>
      <x:c r="V95" s="5"/>
      <x:c r="W95" s="5"/>
      <x:c r="X95" s="5"/>
    </x:row>
    <x:row r="96" ht="24" customHeight="1">
      <x:c r="A96" s="5"/>
      <x:c r="B96" s="8"/>
      <x:c r="C96" s="5"/>
      <x:c r="D96" s="5"/>
      <x:c r="E96" s="5"/>
      <x:c r="F96" s="7" t="str">
        <x:f>IF(A96="","",IF(L96="","",VALUE(L96)/10^K96))</x:f>
      </x:c>
      <x:c r="G96" s="13"/>
      <x:c r="H96" s="5"/>
      <x:c r="I96" s="5"/>
      <x:c r="J96" s="5"/>
      <x:c r="K96" s="6"/>
      <x:c r="L96" s="13"/>
      <x:c r="M96" s="5"/>
      <x:c r="N96" s="5"/>
      <x:c r="O96" s="5"/>
      <x:c r="P96" s="5"/>
      <x:c r="Q96" s="6"/>
      <x:c r="R96" s="5"/>
      <x:c r="S96" s="5"/>
      <x:c r="T96" s="5"/>
      <x:c r="U96" s="5"/>
      <x:c r="V96" s="5"/>
      <x:c r="W96" s="5"/>
      <x:c r="X96" s="5"/>
    </x:row>
    <x:row r="97" ht="24" customHeight="1">
      <x:c r="A97" s="5"/>
      <x:c r="B97" s="8"/>
      <x:c r="C97" s="5"/>
      <x:c r="D97" s="5"/>
      <x:c r="E97" s="5"/>
      <x:c r="F97" s="7" t="str">
        <x:f>IF(A97="","",IF(L97="","",VALUE(L97)/10^K97))</x:f>
      </x:c>
      <x:c r="G97" s="13"/>
      <x:c r="H97" s="5"/>
      <x:c r="I97" s="5"/>
      <x:c r="J97" s="5"/>
      <x:c r="K97" s="6"/>
      <x:c r="L97" s="13"/>
      <x:c r="M97" s="5"/>
      <x:c r="N97" s="5"/>
      <x:c r="O97" s="5"/>
      <x:c r="P97" s="5"/>
      <x:c r="Q97" s="6"/>
      <x:c r="R97" s="5"/>
      <x:c r="S97" s="5"/>
      <x:c r="T97" s="5"/>
      <x:c r="U97" s="5"/>
      <x:c r="V97" s="5"/>
      <x:c r="W97" s="5"/>
      <x:c r="X97" s="5"/>
    </x:row>
    <x:row r="98" ht="24" customHeight="1">
      <x:c r="A98" s="5"/>
      <x:c r="B98" s="8"/>
      <x:c r="C98" s="5"/>
      <x:c r="D98" s="5"/>
      <x:c r="E98" s="5"/>
      <x:c r="F98" s="7" t="str">
        <x:f>IF(A98="","",IF(L98="","",VALUE(L98)/10^K98))</x:f>
      </x:c>
      <x:c r="G98" s="13"/>
      <x:c r="H98" s="5"/>
      <x:c r="I98" s="5"/>
      <x:c r="J98" s="5"/>
      <x:c r="K98" s="6"/>
      <x:c r="L98" s="13"/>
      <x:c r="M98" s="5"/>
      <x:c r="N98" s="5"/>
      <x:c r="O98" s="5"/>
      <x:c r="P98" s="5"/>
      <x:c r="Q98" s="6"/>
      <x:c r="R98" s="5"/>
      <x:c r="S98" s="5"/>
      <x:c r="T98" s="5"/>
      <x:c r="U98" s="5"/>
      <x:c r="V98" s="5"/>
      <x:c r="W98" s="5"/>
      <x:c r="X98" s="5"/>
    </x:row>
    <x:row r="99" ht="24" customHeight="1">
      <x:c r="A99" s="5"/>
      <x:c r="B99" s="8"/>
      <x:c r="C99" s="5"/>
      <x:c r="D99" s="5"/>
      <x:c r="E99" s="5"/>
      <x:c r="F99" s="7" t="str">
        <x:f>IF(A99="","",IF(L99="","",VALUE(L99)/10^K99))</x:f>
      </x:c>
      <x:c r="G99" s="13"/>
      <x:c r="H99" s="5"/>
      <x:c r="I99" s="5"/>
      <x:c r="J99" s="5"/>
      <x:c r="K99" s="6"/>
      <x:c r="L99" s="13"/>
      <x:c r="M99" s="5"/>
      <x:c r="N99" s="5"/>
      <x:c r="O99" s="5"/>
      <x:c r="P99" s="5"/>
      <x:c r="Q99" s="6"/>
      <x:c r="R99" s="5"/>
      <x:c r="S99" s="5"/>
      <x:c r="T99" s="5"/>
      <x:c r="U99" s="5"/>
      <x:c r="V99" s="5"/>
      <x:c r="W99" s="5"/>
      <x:c r="X99" s="5"/>
    </x:row>
    <x:row r="100" ht="24" customHeight="1">
      <x:c r="A100" s="5"/>
      <x:c r="B100" s="8"/>
      <x:c r="C100" s="5"/>
      <x:c r="D100" s="5"/>
      <x:c r="E100" s="5"/>
      <x:c r="F100" s="7" t="str">
        <x:f>IF(A100="","",IF(L100="","",VALUE(L100)/10^K100))</x:f>
      </x:c>
      <x:c r="G100" s="13"/>
      <x:c r="H100" s="5"/>
      <x:c r="I100" s="5"/>
      <x:c r="J100" s="5"/>
      <x:c r="K100" s="6"/>
      <x:c r="L100" s="13"/>
      <x:c r="M100" s="5"/>
      <x:c r="N100" s="5"/>
      <x:c r="O100" s="5"/>
      <x:c r="P100" s="5"/>
      <x:c r="Q100" s="6"/>
      <x:c r="R100" s="5"/>
      <x:c r="S100" s="5"/>
      <x:c r="T100" s="5"/>
      <x:c r="U100" s="5"/>
      <x:c r="V100" s="5"/>
      <x:c r="W100" s="5"/>
      <x:c r="X100" s="5"/>
    </x:row>
    <x:row r="101" ht="24" customHeight="1">
      <x:c r="A101" s="5"/>
      <x:c r="B101" s="8"/>
      <x:c r="C101" s="5"/>
      <x:c r="D101" s="5"/>
      <x:c r="E101" s="5"/>
      <x:c r="F101" s="7" t="str">
        <x:f>IF(A101="","",IF(L101="","",VALUE(L101)/10^K101))</x:f>
      </x:c>
      <x:c r="G101" s="13"/>
      <x:c r="H101" s="5"/>
      <x:c r="I101" s="5"/>
      <x:c r="J101" s="5"/>
      <x:c r="K101" s="6"/>
      <x:c r="L101" s="13"/>
      <x:c r="M101" s="5"/>
      <x:c r="N101" s="5"/>
      <x:c r="O101" s="5"/>
      <x:c r="P101" s="5"/>
      <x:c r="Q101" s="6"/>
      <x:c r="R101" s="5"/>
      <x:c r="S101" s="5"/>
      <x:c r="T101" s="5"/>
      <x:c r="U101" s="5"/>
      <x:c r="V101" s="5"/>
      <x:c r="W101" s="5"/>
      <x:c r="X101" s="5"/>
    </x:row>
    <x:row r="102" ht="24" customHeight="1">
      <x:c r="A102" s="5"/>
      <x:c r="B102" s="8"/>
      <x:c r="C102" s="5"/>
      <x:c r="D102" s="5"/>
      <x:c r="E102" s="5"/>
      <x:c r="F102" s="7" t="str">
        <x:f>IF(A102="","",IF(L102="","",VALUE(L102)/10^K102))</x:f>
      </x:c>
      <x:c r="G102" s="13"/>
      <x:c r="H102" s="5"/>
      <x:c r="I102" s="5"/>
      <x:c r="J102" s="5"/>
      <x:c r="K102" s="6"/>
      <x:c r="L102" s="13"/>
      <x:c r="M102" s="5"/>
      <x:c r="N102" s="5"/>
      <x:c r="O102" s="5"/>
      <x:c r="P102" s="5"/>
      <x:c r="Q102" s="6"/>
      <x:c r="R102" s="5"/>
      <x:c r="S102" s="5"/>
      <x:c r="T102" s="5"/>
      <x:c r="U102" s="5"/>
      <x:c r="V102" s="5"/>
      <x:c r="W102" s="5"/>
      <x:c r="X102" s="5"/>
    </x:row>
    <x:row r="103" ht="24" customHeight="1">
      <x:c r="A103" s="5"/>
      <x:c r="B103" s="8"/>
      <x:c r="C103" s="5"/>
      <x:c r="D103" s="5"/>
      <x:c r="E103" s="5"/>
      <x:c r="F103" s="7" t="str">
        <x:f>IF(A103="","",IF(L103="","",VALUE(L103)/10^K103))</x:f>
      </x:c>
      <x:c r="G103" s="13"/>
      <x:c r="H103" s="5"/>
      <x:c r="I103" s="5"/>
      <x:c r="J103" s="5"/>
      <x:c r="K103" s="6"/>
      <x:c r="L103" s="13"/>
      <x:c r="M103" s="5"/>
      <x:c r="N103" s="5"/>
      <x:c r="O103" s="5"/>
      <x:c r="P103" s="5"/>
      <x:c r="Q103" s="6"/>
      <x:c r="R103" s="5"/>
      <x:c r="S103" s="5"/>
      <x:c r="T103" s="5"/>
      <x:c r="U103" s="5"/>
      <x:c r="V103" s="5"/>
      <x:c r="W103" s="5"/>
      <x:c r="X103" s="5"/>
    </x:row>
    <x:row r="104" ht="24" customHeight="1">
      <x:c r="A104" s="5"/>
      <x:c r="B104" s="8"/>
      <x:c r="C104" s="5"/>
      <x:c r="D104" s="5"/>
      <x:c r="E104" s="5"/>
      <x:c r="F104" s="7" t="str">
        <x:f>IF(A104="","",IF(L104="","",VALUE(L104)/10^K104))</x:f>
      </x:c>
      <x:c r="G104" s="13"/>
      <x:c r="H104" s="5"/>
      <x:c r="I104" s="5"/>
      <x:c r="J104" s="5"/>
      <x:c r="K104" s="6"/>
      <x:c r="L104" s="13"/>
      <x:c r="M104" s="5"/>
      <x:c r="N104" s="5"/>
      <x:c r="O104" s="5"/>
      <x:c r="P104" s="5"/>
      <x:c r="Q104" s="6"/>
      <x:c r="R104" s="5"/>
      <x:c r="S104" s="5"/>
      <x:c r="T104" s="5"/>
      <x:c r="U104" s="5"/>
      <x:c r="V104" s="5"/>
      <x:c r="W104" s="5"/>
      <x:c r="X104" s="5"/>
    </x:row>
    <x:row r="105" ht="24" customHeight="1">
      <x:c r="A105" s="5"/>
      <x:c r="B105" s="8"/>
      <x:c r="C105" s="5"/>
      <x:c r="D105" s="5"/>
      <x:c r="E105" s="5"/>
      <x:c r="F105" s="7" t="str">
        <x:f>IF(A105="","",IF(L105="","",VALUE(L105)/10^K105))</x:f>
      </x:c>
      <x:c r="G105" s="13"/>
      <x:c r="H105" s="5"/>
      <x:c r="I105" s="5"/>
      <x:c r="J105" s="5"/>
      <x:c r="K105" s="6"/>
      <x:c r="L105" s="13"/>
      <x:c r="M105" s="5"/>
      <x:c r="N105" s="5"/>
      <x:c r="O105" s="5"/>
      <x:c r="P105" s="5"/>
      <x:c r="Q105" s="6"/>
      <x:c r="R105" s="5"/>
      <x:c r="S105" s="5"/>
      <x:c r="T105" s="5"/>
      <x:c r="U105" s="5"/>
      <x:c r="V105" s="5"/>
      <x:c r="W105" s="5"/>
      <x:c r="X105" s="5"/>
    </x:row>
  </x:sheetData>
  <x:conditionalFormatting sqref="X6:X105">
    <x:cfRule type="containsText" dxfId="0" priority="1" operator="containsText" text="Pending"/>
  </x:conditionalFormatting>
  <x:dataValidations count="2">
    <x:dataValidation type="list" sqref="X6:X105">
      <x:formula1>"Verified,Pending review,Excluded"</x:formula1>
    </x:dataValidation>
    <x:dataValidation type="list" sqref="H6:H105">
      <x:formula1>"Initial receipt,Onward transfer,Other"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656cd24a204544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6" hidden="0" customWidth="1"/>
    <x:col min="2" max="2" width="56" hidden="0" customWidth="1"/>
    <x:col min="3" max="3" width="12" hidden="0" customWidth="1"/>
    <x:col min="4" max="4" width="10" hidden="0" customWidth="1"/>
    <x:col min="5" max="5" width="48" hidden="0" customWidth="1"/>
    <x:col min="6" max="6" width="10" hidden="0" customWidth="1"/>
    <x:col min="7" max="7" width="24" hidden="0" customWidth="1"/>
    <x:col min="8" max="8" width="39" hidden="0" customWidth="1"/>
    <x:col min="9" max="9" width="70" hidden="0" customWidth="1"/>
    <x:col min="10" max="10" width="27" hidden="0" customWidth="1"/>
    <x:col min="11" max="11" width="19" hidden="0" customWidth="1"/>
    <x:col min="12" max="12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Directed graph edges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4" t="str">
        <x:v>Filter out blank IDs before export. Source/Target are chain-qualified wallet IDs; quantities are not USD weights.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4" customHeight="1">
      <x:c r="A5" s="12" t="str">
        <x:v>Source</x:v>
      </x:c>
      <x:c r="B5" s="12" t="str">
        <x:v>Target</x:v>
      </x:c>
      <x:c r="C5" s="12" t="str">
        <x:v>Type</x:v>
      </x:c>
      <x:c r="D5" s="12" t="str">
        <x:v>Id</x:v>
      </x:c>
      <x:c r="E5" s="12" t="str">
        <x:v>Label</x:v>
      </x:c>
      <x:c r="F5" s="12" t="str">
        <x:v>Asset</x:v>
      </x:c>
      <x:c r="G5" s="12" t="str">
        <x:v>Amount (approx.)</x:v>
      </x:c>
      <x:c r="H5" s="12" t="str">
        <x:v>Amount exact (text)</x:v>
      </x:c>
      <x:c r="I5" s="12" t="str">
        <x:v>Transaction hash</x:v>
      </x:c>
      <x:c r="J5" s="12" t="str">
        <x:v>Evidence status</x:v>
      </x:c>
      <x:c r="K5" s="12" t="str">
        <x:v>Flow role</x:v>
      </x:c>
      <x:c r="L5" s="12" t="str">
        <x:v>Review status</x:v>
      </x:c>
    </x:row>
    <x:row r="6" ht="24" customHeight="1">
      <x:c r="A6" s="5" t="str">
        <x:f>IF('Transfers'!A6="","","ethereum:"&amp;'Transfers'!M6)</x:f>
        <x:v>ethereum:0x28c6c06298d514db089934071355e5743bf21d60</x:v>
      </x:c>
      <x:c r="B6" s="5" t="str">
        <x:f>IF('Transfers'!A6="","","ethereum:"&amp;'Transfers'!N6)</x:f>
        <x:v>ethereum:0x5227f603c1ee34ce3c06efe6477003bdfccb2f8c</x:v>
      </x:c>
      <x:c r="C6" s="5" t="str">
        <x:f>IF('Transfers'!A6="","","Directed")</x:f>
        <x:v>Directed</x:v>
      </x:c>
      <x:c r="D6" s="5" t="str">
        <x:f>IF('Transfers'!A6="","",'Transfers'!A6)</x:f>
        <x:v>E01</x:v>
      </x:c>
      <x:c r="E6" s="5" t="str">
        <x:f>IF('Transfers'!A6="","",'Transfers'!G6&amp;" "&amp;'Transfers'!C6)</x:f>
        <x:v>167464.247856558836135296 ETH</x:v>
      </x:c>
      <x:c r="F6" s="5" t="str">
        <x:f>IF('Transfers'!A6="","",'Transfers'!C6)</x:f>
        <x:v>ETH</x:v>
      </x:c>
      <x:c r="G6" s="7" t="n">
        <x:f>IF('Transfers'!A6="","",'Transfers'!F6)</x:f>
        <x:v>167464.24785655882</x:v>
      </x:c>
      <x:c r="H6" s="5" t="str">
        <x:f>IF('Transfers'!A6="","",'Transfers'!G6)</x:f>
        <x:v>167464.247856558836135296</x:v>
      </x:c>
      <x:c r="I6" s="5" t="str">
        <x:f>IF('Transfers'!A6="","",'Transfers'!O6)</x:f>
        <x:v>0x53bd38b816c23e74134786c29a8c18d792777998a3b9326047b583100e88e2f3</x:v>
      </x:c>
      <x:c r="J6" s="5" t="str">
        <x:f>IF('Transfers'!A6="","",'Transfers'!I6)</x:f>
        <x:v>Explorer cross-checked</x:v>
      </x:c>
      <x:c r="K6" s="5" t="str">
        <x:f>IF('Transfers'!A6="","",'Transfers'!H6)</x:f>
        <x:v>Initial receipt</x:v>
      </x:c>
      <x:c r="L6" s="5" t="str">
        <x:f>IF('Transfers'!A6="","",'Transfers'!X6)</x:f>
        <x:v>Verified</x:v>
      </x:c>
    </x:row>
    <x:row r="7" ht="24" customHeight="1">
      <x:c r="A7" s="5" t="str">
        <x:f>IF('Transfers'!A7="","","ethereum:"&amp;'Transfers'!M7)</x:f>
        <x:v>ethereum:0x28c6c06298d514db089934071355e5743bf21d60</x:v>
      </x:c>
      <x:c r="B7" s="5" t="str">
        <x:f>IF('Transfers'!A7="","","ethereum:"&amp;'Transfers'!N7)</x:f>
        <x:v>ethereum:0x5227f603c1ee34ce3c06efe6477003bdfccb2f8c</x:v>
      </x:c>
      <x:c r="C7" s="5" t="str">
        <x:f>IF('Transfers'!A7="","","Directed")</x:f>
        <x:v>Directed</x:v>
      </x:c>
      <x:c r="D7" s="5" t="str">
        <x:f>IF('Transfers'!A7="","",'Transfers'!A7)</x:f>
        <x:v>E02</x:v>
      </x:c>
      <x:c r="E7" s="5" t="str">
        <x:f>IF('Transfers'!A7="","",'Transfers'!G7&amp;" "&amp;'Transfers'!C7)</x:f>
        <x:v>1615409498.973240 USDT</x:v>
      </x:c>
      <x:c r="F7" s="5" t="str">
        <x:f>IF('Transfers'!A7="","",'Transfers'!C7)</x:f>
        <x:v>USDT</x:v>
      </x:c>
      <x:c r="G7" s="7" t="n">
        <x:f>IF('Transfers'!A7="","",'Transfers'!F7)</x:f>
        <x:v>1615409498.97324</x:v>
      </x:c>
      <x:c r="H7" s="5" t="str">
        <x:f>IF('Transfers'!A7="","",'Transfers'!G7)</x:f>
        <x:v>1615409498.973240</x:v>
      </x:c>
      <x:c r="I7" s="5" t="str">
        <x:f>IF('Transfers'!A7="","",'Transfers'!O7)</x:f>
        <x:v>0x53bd38b816c23e74134786c29a8c18d792777998a3b9326047b583100e88e2f3</x:v>
      </x:c>
      <x:c r="J7" s="5" t="str">
        <x:f>IF('Transfers'!A7="","",'Transfers'!I7)</x:f>
        <x:v>Explorer cross-checked</x:v>
      </x:c>
      <x:c r="K7" s="5" t="str">
        <x:f>IF('Transfers'!A7="","",'Transfers'!H7)</x:f>
        <x:v>Initial receipt</x:v>
      </x:c>
      <x:c r="L7" s="5" t="str">
        <x:f>IF('Transfers'!A7="","",'Transfers'!X7)</x:f>
        <x:v>Verified</x:v>
      </x:c>
    </x:row>
    <x:row r="8" ht="24" customHeight="1">
      <x:c r="A8" s="5" t="str">
        <x:f>IF('Transfers'!A8="","","ethereum:"&amp;'Transfers'!M8)</x:f>
        <x:v>ethereum:0x28c6c06298d514db089934071355e5743bf21d60</x:v>
      </x:c>
      <x:c r="B8" s="5" t="str">
        <x:f>IF('Transfers'!A8="","","ethereum:"&amp;'Transfers'!N8)</x:f>
        <x:v>ethereum:0x5227f603c1ee34ce3c06efe6477003bdfccb2f8c</x:v>
      </x:c>
      <x:c r="C8" s="5" t="str">
        <x:f>IF('Transfers'!A8="","","Directed")</x:f>
        <x:v>Directed</x:v>
      </x:c>
      <x:c r="D8" s="5" t="str">
        <x:f>IF('Transfers'!A8="","",'Transfers'!A8)</x:f>
        <x:v>E03</x:v>
      </x:c>
      <x:c r="E8" s="5" t="str">
        <x:f>IF('Transfers'!A8="","",'Transfers'!G8&amp;" "&amp;'Transfers'!C8)</x:f>
        <x:v>62597239.679797044969015518 RLUSD</x:v>
      </x:c>
      <x:c r="F8" s="5" t="str">
        <x:f>IF('Transfers'!A8="","",'Transfers'!C8)</x:f>
        <x:v>RLUSD</x:v>
      </x:c>
      <x:c r="G8" s="7" t="n">
        <x:f>IF('Transfers'!A8="","",'Transfers'!F8)</x:f>
        <x:v>62597239.679797046</x:v>
      </x:c>
      <x:c r="H8" s="5" t="str">
        <x:f>IF('Transfers'!A8="","",'Transfers'!G8)</x:f>
        <x:v>62597239.679797044969015518</x:v>
      </x:c>
      <x:c r="I8" s="5" t="str">
        <x:f>IF('Transfers'!A8="","",'Transfers'!O8)</x:f>
        <x:v>0x53bd38b816c23e74134786c29a8c18d792777998a3b9326047b583100e88e2f3</x:v>
      </x:c>
      <x:c r="J8" s="5" t="str">
        <x:f>IF('Transfers'!A8="","",'Transfers'!I8)</x:f>
        <x:v>Explorer cross-checked</x:v>
      </x:c>
      <x:c r="K8" s="5" t="str">
        <x:f>IF('Transfers'!A8="","",'Transfers'!H8)</x:f>
        <x:v>Initial receipt</x:v>
      </x:c>
      <x:c r="L8" s="5" t="str">
        <x:f>IF('Transfers'!A8="","",'Transfers'!X8)</x:f>
        <x:v>Verified</x:v>
      </x:c>
    </x:row>
    <x:row r="9" ht="24" customHeight="1">
      <x:c r="A9" s="5" t="str">
        <x:f>IF('Transfers'!A9="","","ethereum:"&amp;'Transfers'!M9)</x:f>
        <x:v>ethereum:0xdfd5293d8e347dfe59e90efd55b2956a1343963d</x:v>
      </x:c>
      <x:c r="B9" s="5" t="str">
        <x:f>IF('Transfers'!A9="","","ethereum:"&amp;'Transfers'!N9)</x:f>
        <x:v>ethereum:0x5227f603c1ee34ce3c06efe6477003bdfccb2f8c</x:v>
      </x:c>
      <x:c r="C9" s="5" t="str">
        <x:f>IF('Transfers'!A9="","","Directed")</x:f>
        <x:v>Directed</x:v>
      </x:c>
      <x:c r="D9" s="5" t="str">
        <x:f>IF('Transfers'!A9="","",'Transfers'!A9)</x:f>
        <x:v>E04</x:v>
      </x:c>
      <x:c r="E9" s="5" t="str">
        <x:f>IF('Transfers'!A9="","",'Transfers'!G9&amp;" "&amp;'Transfers'!C9)</x:f>
        <x:v>28005.600000000000000000 ETH</x:v>
      </x:c>
      <x:c r="F9" s="5" t="str">
        <x:f>IF('Transfers'!A9="","",'Transfers'!C9)</x:f>
        <x:v>ETH</x:v>
      </x:c>
      <x:c r="G9" s="7" t="n">
        <x:f>IF('Transfers'!A9="","",'Transfers'!F9)</x:f>
        <x:v>28005.600000000002</x:v>
      </x:c>
      <x:c r="H9" s="5" t="str">
        <x:f>IF('Transfers'!A9="","",'Transfers'!G9)</x:f>
        <x:v>28005.600000000000000000</x:v>
      </x:c>
      <x:c r="I9" s="5" t="str">
        <x:f>IF('Transfers'!A9="","",'Transfers'!O9)</x:f>
        <x:v>0x51f263fa50966df6bbd7f8c6e6e99e3791c94444f7c4343b2fef1ee2d62fd39f</x:v>
      </x:c>
      <x:c r="J9" s="5" t="str">
        <x:f>IF('Transfers'!A9="","",'Transfers'!I9)</x:f>
        <x:v>Explorer cross-checked</x:v>
      </x:c>
      <x:c r="K9" s="5" t="str">
        <x:f>IF('Transfers'!A9="","",'Transfers'!H9)</x:f>
        <x:v>Initial receipt</x:v>
      </x:c>
      <x:c r="L9" s="5" t="str">
        <x:f>IF('Transfers'!A9="","",'Transfers'!X9)</x:f>
        <x:v>Verified</x:v>
      </x:c>
    </x:row>
    <x:row r="10" ht="24" customHeight="1">
      <x:c r="A10" s="5" t="str">
        <x:f>IF('Transfers'!A10="","","ethereum:"&amp;'Transfers'!M10)</x:f>
        <x:v>ethereum:0x5227f603c1ee34ce3c06efe6477003bdfccb2f8c</x:v>
      </x:c>
      <x:c r="B10" s="5" t="str">
        <x:f>IF('Transfers'!A10="","","ethereum:"&amp;'Transfers'!N10)</x:f>
        <x:v>ethereum:0x8532fa14acaf483729c449b8458aeddb900543d4</x:v>
      </x:c>
      <x:c r="C10" s="5" t="str">
        <x:f>IF('Transfers'!A10="","","Directed")</x:f>
        <x:v>Directed</x:v>
      </x:c>
      <x:c r="D10" s="5" t="str">
        <x:f>IF('Transfers'!A10="","",'Transfers'!A10)</x:f>
        <x:v>E05</x:v>
      </x:c>
      <x:c r="E10" s="5" t="str">
        <x:f>IF('Transfers'!A10="","",'Transfers'!G10&amp;" "&amp;'Transfers'!C10)</x:f>
        <x:v>195460.000000000000000000 ETH</x:v>
      </x:c>
      <x:c r="F10" s="5" t="str">
        <x:f>IF('Transfers'!A10="","",'Transfers'!C10)</x:f>
        <x:v>ETH</x:v>
      </x:c>
      <x:c r="G10" s="7" t="n">
        <x:f>IF('Transfers'!A10="","",'Transfers'!F10)</x:f>
        <x:v>195460</x:v>
      </x:c>
      <x:c r="H10" s="5" t="str">
        <x:f>IF('Transfers'!A10="","",'Transfers'!G10)</x:f>
        <x:v>195460.000000000000000000</x:v>
      </x:c>
      <x:c r="I10" s="5" t="str">
        <x:f>IF('Transfers'!A10="","",'Transfers'!O10)</x:f>
        <x:v>0x551d7961652e6d9835b11988908adf86ebe480badb4ce2d7d52193b2b1b02c76</x:v>
      </x:c>
      <x:c r="J10" s="5" t="str">
        <x:f>IF('Transfers'!A10="","",'Transfers'!I10)</x:f>
        <x:v>Explorer cross-checked</x:v>
      </x:c>
      <x:c r="K10" s="5" t="str">
        <x:f>IF('Transfers'!A10="","",'Transfers'!H10)</x:f>
        <x:v>Onward transfer</x:v>
      </x:c>
      <x:c r="L10" s="5" t="str">
        <x:f>IF('Transfers'!A10="","",'Transfers'!X10)</x:f>
        <x:v>Verified</x:v>
      </x:c>
    </x:row>
    <x:row r="11" ht="24" customHeight="1">
      <x:c r="A11" s="5" t="str">
        <x:f>IF('Transfers'!A11="","","ethereum:"&amp;'Transfers'!M11)</x:f>
        <x:v>ethereum:0xee7ae85f2fe2239e27d9c1e23fffe168d63b4055</x:v>
      </x:c>
      <x:c r="B11" s="5" t="str">
        <x:f>IF('Transfers'!A11="","","ethereum:"&amp;'Transfers'!N11)</x:f>
        <x:v>ethereum:0x5227f603c1ee34ce3c06efe6477003bdfccb2f8c</x:v>
      </x:c>
      <x:c r="C11" s="5" t="str">
        <x:f>IF('Transfers'!A11="","","Directed")</x:f>
        <x:v>Directed</x:v>
      </x:c>
      <x:c r="D11" s="5" t="str">
        <x:f>IF('Transfers'!A11="","",'Transfers'!A11)</x:f>
        <x:v>E06</x:v>
      </x:c>
      <x:c r="E11" s="5" t="str">
        <x:f>IF('Transfers'!A11="","",'Transfers'!G11&amp;" "&amp;'Transfers'!C11)</x:f>
        <x:v>780000000.000000 USDC</x:v>
      </x:c>
      <x:c r="F11" s="5" t="str">
        <x:f>IF('Transfers'!A11="","",'Transfers'!C11)</x:f>
        <x:v>USDC</x:v>
      </x:c>
      <x:c r="G11" s="7" t="n">
        <x:f>IF('Transfers'!A11="","",'Transfers'!F11)</x:f>
        <x:v>780000000</x:v>
      </x:c>
      <x:c r="H11" s="5" t="str">
        <x:f>IF('Transfers'!A11="","",'Transfers'!G11)</x:f>
        <x:v>780000000.000000</x:v>
      </x:c>
      <x:c r="I11" s="5" t="str">
        <x:f>IF('Transfers'!A11="","",'Transfers'!O11)</x:f>
        <x:v>0xdc102dd89dded5a83f1008906883ffb7c81ff3b7d7965d8c7277d170b5e17481</x:v>
      </x:c>
      <x:c r="J11" s="5" t="str">
        <x:f>IF('Transfers'!A11="","",'Transfers'!I11)</x:f>
        <x:v>Explorer cross-checked</x:v>
      </x:c>
      <x:c r="K11" s="5" t="str">
        <x:f>IF('Transfers'!A11="","",'Transfers'!H11)</x:f>
        <x:v>Initial receipt</x:v>
      </x:c>
      <x:c r="L11" s="5" t="str">
        <x:f>IF('Transfers'!A11="","",'Transfers'!X11)</x:f>
        <x:v>Verified</x:v>
      </x:c>
    </x:row>
    <x:row r="12" ht="24" customHeight="1">
      <x:c r="A12" s="5" t="str">
        <x:f>IF('Transfers'!A12="","","ethereum:"&amp;'Transfers'!M12)</x:f>
      </x:c>
      <x:c r="B12" s="5" t="str">
        <x:f>IF('Transfers'!A12="","","ethereum:"&amp;'Transfers'!N12)</x:f>
      </x:c>
      <x:c r="C12" s="5" t="str">
        <x:f>IF('Transfers'!A12="","","Directed")</x:f>
      </x:c>
      <x:c r="D12" s="5" t="str">
        <x:f>IF('Transfers'!A12="","",'Transfers'!A12)</x:f>
      </x:c>
      <x:c r="E12" s="5" t="str">
        <x:f>IF('Transfers'!A12="","",'Transfers'!G12&amp;" "&amp;'Transfers'!C12)</x:f>
      </x:c>
      <x:c r="F12" s="5" t="str">
        <x:f>IF('Transfers'!A12="","",'Transfers'!C12)</x:f>
      </x:c>
      <x:c r="G12" s="7" t="str">
        <x:f>IF('Transfers'!A12="","",'Transfers'!F12)</x:f>
      </x:c>
      <x:c r="H12" s="5" t="str">
        <x:f>IF('Transfers'!A12="","",'Transfers'!G12)</x:f>
      </x:c>
      <x:c r="I12" s="5" t="str">
        <x:f>IF('Transfers'!A12="","",'Transfers'!O12)</x:f>
      </x:c>
      <x:c r="J12" s="5" t="str">
        <x:f>IF('Transfers'!A12="","",'Transfers'!I12)</x:f>
      </x:c>
      <x:c r="K12" s="5" t="str">
        <x:f>IF('Transfers'!A12="","",'Transfers'!H12)</x:f>
      </x:c>
      <x:c r="L12" s="5" t="str">
        <x:f>IF('Transfers'!A12="","",'Transfers'!X12)</x:f>
      </x:c>
    </x:row>
    <x:row r="13" ht="24" customHeight="1">
      <x:c r="A13" s="5" t="str">
        <x:f>IF('Transfers'!A13="","","ethereum:"&amp;'Transfers'!M13)</x:f>
      </x:c>
      <x:c r="B13" s="5" t="str">
        <x:f>IF('Transfers'!A13="","","ethereum:"&amp;'Transfers'!N13)</x:f>
      </x:c>
      <x:c r="C13" s="5" t="str">
        <x:f>IF('Transfers'!A13="","","Directed")</x:f>
      </x:c>
      <x:c r="D13" s="5" t="str">
        <x:f>IF('Transfers'!A13="","",'Transfers'!A13)</x:f>
      </x:c>
      <x:c r="E13" s="5" t="str">
        <x:f>IF('Transfers'!A13="","",'Transfers'!G13&amp;" "&amp;'Transfers'!C13)</x:f>
      </x:c>
      <x:c r="F13" s="5" t="str">
        <x:f>IF('Transfers'!A13="","",'Transfers'!C13)</x:f>
      </x:c>
      <x:c r="G13" s="7" t="str">
        <x:f>IF('Transfers'!A13="","",'Transfers'!F13)</x:f>
      </x:c>
      <x:c r="H13" s="5" t="str">
        <x:f>IF('Transfers'!A13="","",'Transfers'!G13)</x:f>
      </x:c>
      <x:c r="I13" s="5" t="str">
        <x:f>IF('Transfers'!A13="","",'Transfers'!O13)</x:f>
      </x:c>
      <x:c r="J13" s="5" t="str">
        <x:f>IF('Transfers'!A13="","",'Transfers'!I13)</x:f>
      </x:c>
      <x:c r="K13" s="5" t="str">
        <x:f>IF('Transfers'!A13="","",'Transfers'!H13)</x:f>
      </x:c>
      <x:c r="L13" s="5" t="str">
        <x:f>IF('Transfers'!A13="","",'Transfers'!X13)</x:f>
      </x:c>
    </x:row>
    <x:row r="14" ht="24" customHeight="1">
      <x:c r="A14" s="5" t="str">
        <x:f>IF('Transfers'!A14="","","ethereum:"&amp;'Transfers'!M14)</x:f>
      </x:c>
      <x:c r="B14" s="5" t="str">
        <x:f>IF('Transfers'!A14="","","ethereum:"&amp;'Transfers'!N14)</x:f>
      </x:c>
      <x:c r="C14" s="5" t="str">
        <x:f>IF('Transfers'!A14="","","Directed")</x:f>
      </x:c>
      <x:c r="D14" s="5" t="str">
        <x:f>IF('Transfers'!A14="","",'Transfers'!A14)</x:f>
      </x:c>
      <x:c r="E14" s="5" t="str">
        <x:f>IF('Transfers'!A14="","",'Transfers'!G14&amp;" "&amp;'Transfers'!C14)</x:f>
      </x:c>
      <x:c r="F14" s="5" t="str">
        <x:f>IF('Transfers'!A14="","",'Transfers'!C14)</x:f>
      </x:c>
      <x:c r="G14" s="7" t="str">
        <x:f>IF('Transfers'!A14="","",'Transfers'!F14)</x:f>
      </x:c>
      <x:c r="H14" s="5" t="str">
        <x:f>IF('Transfers'!A14="","",'Transfers'!G14)</x:f>
      </x:c>
      <x:c r="I14" s="5" t="str">
        <x:f>IF('Transfers'!A14="","",'Transfers'!O14)</x:f>
      </x:c>
      <x:c r="J14" s="5" t="str">
        <x:f>IF('Transfers'!A14="","",'Transfers'!I14)</x:f>
      </x:c>
      <x:c r="K14" s="5" t="str">
        <x:f>IF('Transfers'!A14="","",'Transfers'!H14)</x:f>
      </x:c>
      <x:c r="L14" s="5" t="str">
        <x:f>IF('Transfers'!A14="","",'Transfers'!X14)</x:f>
      </x:c>
    </x:row>
    <x:row r="15" ht="24" customHeight="1">
      <x:c r="A15" s="5" t="str">
        <x:f>IF('Transfers'!A15="","","ethereum:"&amp;'Transfers'!M15)</x:f>
      </x:c>
      <x:c r="B15" s="5" t="str">
        <x:f>IF('Transfers'!A15="","","ethereum:"&amp;'Transfers'!N15)</x:f>
      </x:c>
      <x:c r="C15" s="5" t="str">
        <x:f>IF('Transfers'!A15="","","Directed")</x:f>
      </x:c>
      <x:c r="D15" s="5" t="str">
        <x:f>IF('Transfers'!A15="","",'Transfers'!A15)</x:f>
      </x:c>
      <x:c r="E15" s="5" t="str">
        <x:f>IF('Transfers'!A15="","",'Transfers'!G15&amp;" "&amp;'Transfers'!C15)</x:f>
      </x:c>
      <x:c r="F15" s="5" t="str">
        <x:f>IF('Transfers'!A15="","",'Transfers'!C15)</x:f>
      </x:c>
      <x:c r="G15" s="7" t="str">
        <x:f>IF('Transfers'!A15="","",'Transfers'!F15)</x:f>
      </x:c>
      <x:c r="H15" s="5" t="str">
        <x:f>IF('Transfers'!A15="","",'Transfers'!G15)</x:f>
      </x:c>
      <x:c r="I15" s="5" t="str">
        <x:f>IF('Transfers'!A15="","",'Transfers'!O15)</x:f>
      </x:c>
      <x:c r="J15" s="5" t="str">
        <x:f>IF('Transfers'!A15="","",'Transfers'!I15)</x:f>
      </x:c>
      <x:c r="K15" s="5" t="str">
        <x:f>IF('Transfers'!A15="","",'Transfers'!H15)</x:f>
      </x:c>
      <x:c r="L15" s="5" t="str">
        <x:f>IF('Transfers'!A15="","",'Transfers'!X15)</x:f>
      </x:c>
    </x:row>
    <x:row r="16" ht="24" customHeight="1">
      <x:c r="A16" s="5" t="str">
        <x:f>IF('Transfers'!A16="","","ethereum:"&amp;'Transfers'!M16)</x:f>
      </x:c>
      <x:c r="B16" s="5" t="str">
        <x:f>IF('Transfers'!A16="","","ethereum:"&amp;'Transfers'!N16)</x:f>
      </x:c>
      <x:c r="C16" s="5" t="str">
        <x:f>IF('Transfers'!A16="","","Directed")</x:f>
      </x:c>
      <x:c r="D16" s="5" t="str">
        <x:f>IF('Transfers'!A16="","",'Transfers'!A16)</x:f>
      </x:c>
      <x:c r="E16" s="5" t="str">
        <x:f>IF('Transfers'!A16="","",'Transfers'!G16&amp;" "&amp;'Transfers'!C16)</x:f>
      </x:c>
      <x:c r="F16" s="5" t="str">
        <x:f>IF('Transfers'!A16="","",'Transfers'!C16)</x:f>
      </x:c>
      <x:c r="G16" s="7" t="str">
        <x:f>IF('Transfers'!A16="","",'Transfers'!F16)</x:f>
      </x:c>
      <x:c r="H16" s="5" t="str">
        <x:f>IF('Transfers'!A16="","",'Transfers'!G16)</x:f>
      </x:c>
      <x:c r="I16" s="5" t="str">
        <x:f>IF('Transfers'!A16="","",'Transfers'!O16)</x:f>
      </x:c>
      <x:c r="J16" s="5" t="str">
        <x:f>IF('Transfers'!A16="","",'Transfers'!I16)</x:f>
      </x:c>
      <x:c r="K16" s="5" t="str">
        <x:f>IF('Transfers'!A16="","",'Transfers'!H16)</x:f>
      </x:c>
      <x:c r="L16" s="5" t="str">
        <x:f>IF('Transfers'!A16="","",'Transfers'!X16)</x:f>
      </x:c>
    </x:row>
    <x:row r="17" ht="24" customHeight="1">
      <x:c r="A17" s="5" t="str">
        <x:f>IF('Transfers'!A17="","","ethereum:"&amp;'Transfers'!M17)</x:f>
      </x:c>
      <x:c r="B17" s="5" t="str">
        <x:f>IF('Transfers'!A17="","","ethereum:"&amp;'Transfers'!N17)</x:f>
      </x:c>
      <x:c r="C17" s="5" t="str">
        <x:f>IF('Transfers'!A17="","","Directed")</x:f>
      </x:c>
      <x:c r="D17" s="5" t="str">
        <x:f>IF('Transfers'!A17="","",'Transfers'!A17)</x:f>
      </x:c>
      <x:c r="E17" s="5" t="str">
        <x:f>IF('Transfers'!A17="","",'Transfers'!G17&amp;" "&amp;'Transfers'!C17)</x:f>
      </x:c>
      <x:c r="F17" s="5" t="str">
        <x:f>IF('Transfers'!A17="","",'Transfers'!C17)</x:f>
      </x:c>
      <x:c r="G17" s="7" t="str">
        <x:f>IF('Transfers'!A17="","",'Transfers'!F17)</x:f>
      </x:c>
      <x:c r="H17" s="5" t="str">
        <x:f>IF('Transfers'!A17="","",'Transfers'!G17)</x:f>
      </x:c>
      <x:c r="I17" s="5" t="str">
        <x:f>IF('Transfers'!A17="","",'Transfers'!O17)</x:f>
      </x:c>
      <x:c r="J17" s="5" t="str">
        <x:f>IF('Transfers'!A17="","",'Transfers'!I17)</x:f>
      </x:c>
      <x:c r="K17" s="5" t="str">
        <x:f>IF('Transfers'!A17="","",'Transfers'!H17)</x:f>
      </x:c>
      <x:c r="L17" s="5" t="str">
        <x:f>IF('Transfers'!A17="","",'Transfers'!X17)</x:f>
      </x:c>
    </x:row>
    <x:row r="18" ht="24" customHeight="1">
      <x:c r="A18" s="5" t="str">
        <x:f>IF('Transfers'!A18="","","ethereum:"&amp;'Transfers'!M18)</x:f>
      </x:c>
      <x:c r="B18" s="5" t="str">
        <x:f>IF('Transfers'!A18="","","ethereum:"&amp;'Transfers'!N18)</x:f>
      </x:c>
      <x:c r="C18" s="5" t="str">
        <x:f>IF('Transfers'!A18="","","Directed")</x:f>
      </x:c>
      <x:c r="D18" s="5" t="str">
        <x:f>IF('Transfers'!A18="","",'Transfers'!A18)</x:f>
      </x:c>
      <x:c r="E18" s="5" t="str">
        <x:f>IF('Transfers'!A18="","",'Transfers'!G18&amp;" "&amp;'Transfers'!C18)</x:f>
      </x:c>
      <x:c r="F18" s="5" t="str">
        <x:f>IF('Transfers'!A18="","",'Transfers'!C18)</x:f>
      </x:c>
      <x:c r="G18" s="7" t="str">
        <x:f>IF('Transfers'!A18="","",'Transfers'!F18)</x:f>
      </x:c>
      <x:c r="H18" s="5" t="str">
        <x:f>IF('Transfers'!A18="","",'Transfers'!G18)</x:f>
      </x:c>
      <x:c r="I18" s="5" t="str">
        <x:f>IF('Transfers'!A18="","",'Transfers'!O18)</x:f>
      </x:c>
      <x:c r="J18" s="5" t="str">
        <x:f>IF('Transfers'!A18="","",'Transfers'!I18)</x:f>
      </x:c>
      <x:c r="K18" s="5" t="str">
        <x:f>IF('Transfers'!A18="","",'Transfers'!H18)</x:f>
      </x:c>
      <x:c r="L18" s="5" t="str">
        <x:f>IF('Transfers'!A18="","",'Transfers'!X18)</x:f>
      </x:c>
    </x:row>
    <x:row r="19" ht="24" customHeight="1">
      <x:c r="A19" s="5" t="str">
        <x:f>IF('Transfers'!A19="","","ethereum:"&amp;'Transfers'!M19)</x:f>
      </x:c>
      <x:c r="B19" s="5" t="str">
        <x:f>IF('Transfers'!A19="","","ethereum:"&amp;'Transfers'!N19)</x:f>
      </x:c>
      <x:c r="C19" s="5" t="str">
        <x:f>IF('Transfers'!A19="","","Directed")</x:f>
      </x:c>
      <x:c r="D19" s="5" t="str">
        <x:f>IF('Transfers'!A19="","",'Transfers'!A19)</x:f>
      </x:c>
      <x:c r="E19" s="5" t="str">
        <x:f>IF('Transfers'!A19="","",'Transfers'!G19&amp;" "&amp;'Transfers'!C19)</x:f>
      </x:c>
      <x:c r="F19" s="5" t="str">
        <x:f>IF('Transfers'!A19="","",'Transfers'!C19)</x:f>
      </x:c>
      <x:c r="G19" s="7" t="str">
        <x:f>IF('Transfers'!A19="","",'Transfers'!F19)</x:f>
      </x:c>
      <x:c r="H19" s="5" t="str">
        <x:f>IF('Transfers'!A19="","",'Transfers'!G19)</x:f>
      </x:c>
      <x:c r="I19" s="5" t="str">
        <x:f>IF('Transfers'!A19="","",'Transfers'!O19)</x:f>
      </x:c>
      <x:c r="J19" s="5" t="str">
        <x:f>IF('Transfers'!A19="","",'Transfers'!I19)</x:f>
      </x:c>
      <x:c r="K19" s="5" t="str">
        <x:f>IF('Transfers'!A19="","",'Transfers'!H19)</x:f>
      </x:c>
      <x:c r="L19" s="5" t="str">
        <x:f>IF('Transfers'!A19="","",'Transfers'!X19)</x:f>
      </x:c>
    </x:row>
    <x:row r="20" ht="24" customHeight="1">
      <x:c r="A20" s="5" t="str">
        <x:f>IF('Transfers'!A20="","","ethereum:"&amp;'Transfers'!M20)</x:f>
      </x:c>
      <x:c r="B20" s="5" t="str">
        <x:f>IF('Transfers'!A20="","","ethereum:"&amp;'Transfers'!N20)</x:f>
      </x:c>
      <x:c r="C20" s="5" t="str">
        <x:f>IF('Transfers'!A20="","","Directed")</x:f>
      </x:c>
      <x:c r="D20" s="5" t="str">
        <x:f>IF('Transfers'!A20="","",'Transfers'!A20)</x:f>
      </x:c>
      <x:c r="E20" s="5" t="str">
        <x:f>IF('Transfers'!A20="","",'Transfers'!G20&amp;" "&amp;'Transfers'!C20)</x:f>
      </x:c>
      <x:c r="F20" s="5" t="str">
        <x:f>IF('Transfers'!A20="","",'Transfers'!C20)</x:f>
      </x:c>
      <x:c r="G20" s="7" t="str">
        <x:f>IF('Transfers'!A20="","",'Transfers'!F20)</x:f>
      </x:c>
      <x:c r="H20" s="5" t="str">
        <x:f>IF('Transfers'!A20="","",'Transfers'!G20)</x:f>
      </x:c>
      <x:c r="I20" s="5" t="str">
        <x:f>IF('Transfers'!A20="","",'Transfers'!O20)</x:f>
      </x:c>
      <x:c r="J20" s="5" t="str">
        <x:f>IF('Transfers'!A20="","",'Transfers'!I20)</x:f>
      </x:c>
      <x:c r="K20" s="5" t="str">
        <x:f>IF('Transfers'!A20="","",'Transfers'!H20)</x:f>
      </x:c>
      <x:c r="L20" s="5" t="str">
        <x:f>IF('Transfers'!A20="","",'Transfers'!X20)</x:f>
      </x:c>
    </x:row>
    <x:row r="21" ht="24" customHeight="1">
      <x:c r="A21" s="5" t="str">
        <x:f>IF('Transfers'!A21="","","ethereum:"&amp;'Transfers'!M21)</x:f>
      </x:c>
      <x:c r="B21" s="5" t="str">
        <x:f>IF('Transfers'!A21="","","ethereum:"&amp;'Transfers'!N21)</x:f>
      </x:c>
      <x:c r="C21" s="5" t="str">
        <x:f>IF('Transfers'!A21="","","Directed")</x:f>
      </x:c>
      <x:c r="D21" s="5" t="str">
        <x:f>IF('Transfers'!A21="","",'Transfers'!A21)</x:f>
      </x:c>
      <x:c r="E21" s="5" t="str">
        <x:f>IF('Transfers'!A21="","",'Transfers'!G21&amp;" "&amp;'Transfers'!C21)</x:f>
      </x:c>
      <x:c r="F21" s="5" t="str">
        <x:f>IF('Transfers'!A21="","",'Transfers'!C21)</x:f>
      </x:c>
      <x:c r="G21" s="7" t="str">
        <x:f>IF('Transfers'!A21="","",'Transfers'!F21)</x:f>
      </x:c>
      <x:c r="H21" s="5" t="str">
        <x:f>IF('Transfers'!A21="","",'Transfers'!G21)</x:f>
      </x:c>
      <x:c r="I21" s="5" t="str">
        <x:f>IF('Transfers'!A21="","",'Transfers'!O21)</x:f>
      </x:c>
      <x:c r="J21" s="5" t="str">
        <x:f>IF('Transfers'!A21="","",'Transfers'!I21)</x:f>
      </x:c>
      <x:c r="K21" s="5" t="str">
        <x:f>IF('Transfers'!A21="","",'Transfers'!H21)</x:f>
      </x:c>
      <x:c r="L21" s="5" t="str">
        <x:f>IF('Transfers'!A21="","",'Transfers'!X21)</x:f>
      </x:c>
    </x:row>
    <x:row r="22" ht="24" customHeight="1">
      <x:c r="A22" s="5" t="str">
        <x:f>IF('Transfers'!A22="","","ethereum:"&amp;'Transfers'!M22)</x:f>
      </x:c>
      <x:c r="B22" s="5" t="str">
        <x:f>IF('Transfers'!A22="","","ethereum:"&amp;'Transfers'!N22)</x:f>
      </x:c>
      <x:c r="C22" s="5" t="str">
        <x:f>IF('Transfers'!A22="","","Directed")</x:f>
      </x:c>
      <x:c r="D22" s="5" t="str">
        <x:f>IF('Transfers'!A22="","",'Transfers'!A22)</x:f>
      </x:c>
      <x:c r="E22" s="5" t="str">
        <x:f>IF('Transfers'!A22="","",'Transfers'!G22&amp;" "&amp;'Transfers'!C22)</x:f>
      </x:c>
      <x:c r="F22" s="5" t="str">
        <x:f>IF('Transfers'!A22="","",'Transfers'!C22)</x:f>
      </x:c>
      <x:c r="G22" s="7" t="str">
        <x:f>IF('Transfers'!A22="","",'Transfers'!F22)</x:f>
      </x:c>
      <x:c r="H22" s="5" t="str">
        <x:f>IF('Transfers'!A22="","",'Transfers'!G22)</x:f>
      </x:c>
      <x:c r="I22" s="5" t="str">
        <x:f>IF('Transfers'!A22="","",'Transfers'!O22)</x:f>
      </x:c>
      <x:c r="J22" s="5" t="str">
        <x:f>IF('Transfers'!A22="","",'Transfers'!I22)</x:f>
      </x:c>
      <x:c r="K22" s="5" t="str">
        <x:f>IF('Transfers'!A22="","",'Transfers'!H22)</x:f>
      </x:c>
      <x:c r="L22" s="5" t="str">
        <x:f>IF('Transfers'!A22="","",'Transfers'!X22)</x:f>
      </x:c>
    </x:row>
    <x:row r="23" ht="24" customHeight="1">
      <x:c r="A23" s="5" t="str">
        <x:f>IF('Transfers'!A23="","","ethereum:"&amp;'Transfers'!M23)</x:f>
      </x:c>
      <x:c r="B23" s="5" t="str">
        <x:f>IF('Transfers'!A23="","","ethereum:"&amp;'Transfers'!N23)</x:f>
      </x:c>
      <x:c r="C23" s="5" t="str">
        <x:f>IF('Transfers'!A23="","","Directed")</x:f>
      </x:c>
      <x:c r="D23" s="5" t="str">
        <x:f>IF('Transfers'!A23="","",'Transfers'!A23)</x:f>
      </x:c>
      <x:c r="E23" s="5" t="str">
        <x:f>IF('Transfers'!A23="","",'Transfers'!G23&amp;" "&amp;'Transfers'!C23)</x:f>
      </x:c>
      <x:c r="F23" s="5" t="str">
        <x:f>IF('Transfers'!A23="","",'Transfers'!C23)</x:f>
      </x:c>
      <x:c r="G23" s="7" t="str">
        <x:f>IF('Transfers'!A23="","",'Transfers'!F23)</x:f>
      </x:c>
      <x:c r="H23" s="5" t="str">
        <x:f>IF('Transfers'!A23="","",'Transfers'!G23)</x:f>
      </x:c>
      <x:c r="I23" s="5" t="str">
        <x:f>IF('Transfers'!A23="","",'Transfers'!O23)</x:f>
      </x:c>
      <x:c r="J23" s="5" t="str">
        <x:f>IF('Transfers'!A23="","",'Transfers'!I23)</x:f>
      </x:c>
      <x:c r="K23" s="5" t="str">
        <x:f>IF('Transfers'!A23="","",'Transfers'!H23)</x:f>
      </x:c>
      <x:c r="L23" s="5" t="str">
        <x:f>IF('Transfers'!A23="","",'Transfers'!X23)</x:f>
      </x:c>
    </x:row>
    <x:row r="24" ht="24" customHeight="1">
      <x:c r="A24" s="5" t="str">
        <x:f>IF('Transfers'!A24="","","ethereum:"&amp;'Transfers'!M24)</x:f>
      </x:c>
      <x:c r="B24" s="5" t="str">
        <x:f>IF('Transfers'!A24="","","ethereum:"&amp;'Transfers'!N24)</x:f>
      </x:c>
      <x:c r="C24" s="5" t="str">
        <x:f>IF('Transfers'!A24="","","Directed")</x:f>
      </x:c>
      <x:c r="D24" s="5" t="str">
        <x:f>IF('Transfers'!A24="","",'Transfers'!A24)</x:f>
      </x:c>
      <x:c r="E24" s="5" t="str">
        <x:f>IF('Transfers'!A24="","",'Transfers'!G24&amp;" "&amp;'Transfers'!C24)</x:f>
      </x:c>
      <x:c r="F24" s="5" t="str">
        <x:f>IF('Transfers'!A24="","",'Transfers'!C24)</x:f>
      </x:c>
      <x:c r="G24" s="7" t="str">
        <x:f>IF('Transfers'!A24="","",'Transfers'!F24)</x:f>
      </x:c>
      <x:c r="H24" s="5" t="str">
        <x:f>IF('Transfers'!A24="","",'Transfers'!G24)</x:f>
      </x:c>
      <x:c r="I24" s="5" t="str">
        <x:f>IF('Transfers'!A24="","",'Transfers'!O24)</x:f>
      </x:c>
      <x:c r="J24" s="5" t="str">
        <x:f>IF('Transfers'!A24="","",'Transfers'!I24)</x:f>
      </x:c>
      <x:c r="K24" s="5" t="str">
        <x:f>IF('Transfers'!A24="","",'Transfers'!H24)</x:f>
      </x:c>
      <x:c r="L24" s="5" t="str">
        <x:f>IF('Transfers'!A24="","",'Transfers'!X24)</x:f>
      </x:c>
    </x:row>
    <x:row r="25" ht="24" customHeight="1">
      <x:c r="A25" s="5" t="str">
        <x:f>IF('Transfers'!A25="","","ethereum:"&amp;'Transfers'!M25)</x:f>
      </x:c>
      <x:c r="B25" s="5" t="str">
        <x:f>IF('Transfers'!A25="","","ethereum:"&amp;'Transfers'!N25)</x:f>
      </x:c>
      <x:c r="C25" s="5" t="str">
        <x:f>IF('Transfers'!A25="","","Directed")</x:f>
      </x:c>
      <x:c r="D25" s="5" t="str">
        <x:f>IF('Transfers'!A25="","",'Transfers'!A25)</x:f>
      </x:c>
      <x:c r="E25" s="5" t="str">
        <x:f>IF('Transfers'!A25="","",'Transfers'!G25&amp;" "&amp;'Transfers'!C25)</x:f>
      </x:c>
      <x:c r="F25" s="5" t="str">
        <x:f>IF('Transfers'!A25="","",'Transfers'!C25)</x:f>
      </x:c>
      <x:c r="G25" s="7" t="str">
        <x:f>IF('Transfers'!A25="","",'Transfers'!F25)</x:f>
      </x:c>
      <x:c r="H25" s="5" t="str">
        <x:f>IF('Transfers'!A25="","",'Transfers'!G25)</x:f>
      </x:c>
      <x:c r="I25" s="5" t="str">
        <x:f>IF('Transfers'!A25="","",'Transfers'!O25)</x:f>
      </x:c>
      <x:c r="J25" s="5" t="str">
        <x:f>IF('Transfers'!A25="","",'Transfers'!I25)</x:f>
      </x:c>
      <x:c r="K25" s="5" t="str">
        <x:f>IF('Transfers'!A25="","",'Transfers'!H25)</x:f>
      </x:c>
      <x:c r="L25" s="5" t="str">
        <x:f>IF('Transfers'!A25="","",'Transfers'!X25)</x:f>
      </x:c>
    </x:row>
    <x:row r="26" ht="24" customHeight="1">
      <x:c r="A26" s="5" t="str">
        <x:f>IF('Transfers'!A26="","","ethereum:"&amp;'Transfers'!M26)</x:f>
      </x:c>
      <x:c r="B26" s="5" t="str">
        <x:f>IF('Transfers'!A26="","","ethereum:"&amp;'Transfers'!N26)</x:f>
      </x:c>
      <x:c r="C26" s="5" t="str">
        <x:f>IF('Transfers'!A26="","","Directed")</x:f>
      </x:c>
      <x:c r="D26" s="5" t="str">
        <x:f>IF('Transfers'!A26="","",'Transfers'!A26)</x:f>
      </x:c>
      <x:c r="E26" s="5" t="str">
        <x:f>IF('Transfers'!A26="","",'Transfers'!G26&amp;" "&amp;'Transfers'!C26)</x:f>
      </x:c>
      <x:c r="F26" s="5" t="str">
        <x:f>IF('Transfers'!A26="","",'Transfers'!C26)</x:f>
      </x:c>
      <x:c r="G26" s="7" t="str">
        <x:f>IF('Transfers'!A26="","",'Transfers'!F26)</x:f>
      </x:c>
      <x:c r="H26" s="5" t="str">
        <x:f>IF('Transfers'!A26="","",'Transfers'!G26)</x:f>
      </x:c>
      <x:c r="I26" s="5" t="str">
        <x:f>IF('Transfers'!A26="","",'Transfers'!O26)</x:f>
      </x:c>
      <x:c r="J26" s="5" t="str">
        <x:f>IF('Transfers'!A26="","",'Transfers'!I26)</x:f>
      </x:c>
      <x:c r="K26" s="5" t="str">
        <x:f>IF('Transfers'!A26="","",'Transfers'!H26)</x:f>
      </x:c>
      <x:c r="L26" s="5" t="str">
        <x:f>IF('Transfers'!A26="","",'Transfers'!X26)</x:f>
      </x:c>
    </x:row>
    <x:row r="27" ht="24" customHeight="1">
      <x:c r="A27" s="5" t="str">
        <x:f>IF('Transfers'!A27="","","ethereum:"&amp;'Transfers'!M27)</x:f>
      </x:c>
      <x:c r="B27" s="5" t="str">
        <x:f>IF('Transfers'!A27="","","ethereum:"&amp;'Transfers'!N27)</x:f>
      </x:c>
      <x:c r="C27" s="5" t="str">
        <x:f>IF('Transfers'!A27="","","Directed")</x:f>
      </x:c>
      <x:c r="D27" s="5" t="str">
        <x:f>IF('Transfers'!A27="","",'Transfers'!A27)</x:f>
      </x:c>
      <x:c r="E27" s="5" t="str">
        <x:f>IF('Transfers'!A27="","",'Transfers'!G27&amp;" "&amp;'Transfers'!C27)</x:f>
      </x:c>
      <x:c r="F27" s="5" t="str">
        <x:f>IF('Transfers'!A27="","",'Transfers'!C27)</x:f>
      </x:c>
      <x:c r="G27" s="7" t="str">
        <x:f>IF('Transfers'!A27="","",'Transfers'!F27)</x:f>
      </x:c>
      <x:c r="H27" s="5" t="str">
        <x:f>IF('Transfers'!A27="","",'Transfers'!G27)</x:f>
      </x:c>
      <x:c r="I27" s="5" t="str">
        <x:f>IF('Transfers'!A27="","",'Transfers'!O27)</x:f>
      </x:c>
      <x:c r="J27" s="5" t="str">
        <x:f>IF('Transfers'!A27="","",'Transfers'!I27)</x:f>
      </x:c>
      <x:c r="K27" s="5" t="str">
        <x:f>IF('Transfers'!A27="","",'Transfers'!H27)</x:f>
      </x:c>
      <x:c r="L27" s="5" t="str">
        <x:f>IF('Transfers'!A27="","",'Transfers'!X27)</x:f>
      </x:c>
    </x:row>
    <x:row r="28" ht="24" customHeight="1">
      <x:c r="A28" s="5" t="str">
        <x:f>IF('Transfers'!A28="","","ethereum:"&amp;'Transfers'!M28)</x:f>
      </x:c>
      <x:c r="B28" s="5" t="str">
        <x:f>IF('Transfers'!A28="","","ethereum:"&amp;'Transfers'!N28)</x:f>
      </x:c>
      <x:c r="C28" s="5" t="str">
        <x:f>IF('Transfers'!A28="","","Directed")</x:f>
      </x:c>
      <x:c r="D28" s="5" t="str">
        <x:f>IF('Transfers'!A28="","",'Transfers'!A28)</x:f>
      </x:c>
      <x:c r="E28" s="5" t="str">
        <x:f>IF('Transfers'!A28="","",'Transfers'!G28&amp;" "&amp;'Transfers'!C28)</x:f>
      </x:c>
      <x:c r="F28" s="5" t="str">
        <x:f>IF('Transfers'!A28="","",'Transfers'!C28)</x:f>
      </x:c>
      <x:c r="G28" s="7" t="str">
        <x:f>IF('Transfers'!A28="","",'Transfers'!F28)</x:f>
      </x:c>
      <x:c r="H28" s="5" t="str">
        <x:f>IF('Transfers'!A28="","",'Transfers'!G28)</x:f>
      </x:c>
      <x:c r="I28" s="5" t="str">
        <x:f>IF('Transfers'!A28="","",'Transfers'!O28)</x:f>
      </x:c>
      <x:c r="J28" s="5" t="str">
        <x:f>IF('Transfers'!A28="","",'Transfers'!I28)</x:f>
      </x:c>
      <x:c r="K28" s="5" t="str">
        <x:f>IF('Transfers'!A28="","",'Transfers'!H28)</x:f>
      </x:c>
      <x:c r="L28" s="5" t="str">
        <x:f>IF('Transfers'!A28="","",'Transfers'!X28)</x:f>
      </x:c>
    </x:row>
    <x:row r="29" ht="24" customHeight="1">
      <x:c r="A29" s="5" t="str">
        <x:f>IF('Transfers'!A29="","","ethereum:"&amp;'Transfers'!M29)</x:f>
      </x:c>
      <x:c r="B29" s="5" t="str">
        <x:f>IF('Transfers'!A29="","","ethereum:"&amp;'Transfers'!N29)</x:f>
      </x:c>
      <x:c r="C29" s="5" t="str">
        <x:f>IF('Transfers'!A29="","","Directed")</x:f>
      </x:c>
      <x:c r="D29" s="5" t="str">
        <x:f>IF('Transfers'!A29="","",'Transfers'!A29)</x:f>
      </x:c>
      <x:c r="E29" s="5" t="str">
        <x:f>IF('Transfers'!A29="","",'Transfers'!G29&amp;" "&amp;'Transfers'!C29)</x:f>
      </x:c>
      <x:c r="F29" s="5" t="str">
        <x:f>IF('Transfers'!A29="","",'Transfers'!C29)</x:f>
      </x:c>
      <x:c r="G29" s="7" t="str">
        <x:f>IF('Transfers'!A29="","",'Transfers'!F29)</x:f>
      </x:c>
      <x:c r="H29" s="5" t="str">
        <x:f>IF('Transfers'!A29="","",'Transfers'!G29)</x:f>
      </x:c>
      <x:c r="I29" s="5" t="str">
        <x:f>IF('Transfers'!A29="","",'Transfers'!O29)</x:f>
      </x:c>
      <x:c r="J29" s="5" t="str">
        <x:f>IF('Transfers'!A29="","",'Transfers'!I29)</x:f>
      </x:c>
      <x:c r="K29" s="5" t="str">
        <x:f>IF('Transfers'!A29="","",'Transfers'!H29)</x:f>
      </x:c>
      <x:c r="L29" s="5" t="str">
        <x:f>IF('Transfers'!A29="","",'Transfers'!X29)</x:f>
      </x:c>
    </x:row>
    <x:row r="30" ht="24" customHeight="1">
      <x:c r="A30" s="5" t="str">
        <x:f>IF('Transfers'!A30="","","ethereum:"&amp;'Transfers'!M30)</x:f>
      </x:c>
      <x:c r="B30" s="5" t="str">
        <x:f>IF('Transfers'!A30="","","ethereum:"&amp;'Transfers'!N30)</x:f>
      </x:c>
      <x:c r="C30" s="5" t="str">
        <x:f>IF('Transfers'!A30="","","Directed")</x:f>
      </x:c>
      <x:c r="D30" s="5" t="str">
        <x:f>IF('Transfers'!A30="","",'Transfers'!A30)</x:f>
      </x:c>
      <x:c r="E30" s="5" t="str">
        <x:f>IF('Transfers'!A30="","",'Transfers'!G30&amp;" "&amp;'Transfers'!C30)</x:f>
      </x:c>
      <x:c r="F30" s="5" t="str">
        <x:f>IF('Transfers'!A30="","",'Transfers'!C30)</x:f>
      </x:c>
      <x:c r="G30" s="7" t="str">
        <x:f>IF('Transfers'!A30="","",'Transfers'!F30)</x:f>
      </x:c>
      <x:c r="H30" s="5" t="str">
        <x:f>IF('Transfers'!A30="","",'Transfers'!G30)</x:f>
      </x:c>
      <x:c r="I30" s="5" t="str">
        <x:f>IF('Transfers'!A30="","",'Transfers'!O30)</x:f>
      </x:c>
      <x:c r="J30" s="5" t="str">
        <x:f>IF('Transfers'!A30="","",'Transfers'!I30)</x:f>
      </x:c>
      <x:c r="K30" s="5" t="str">
        <x:f>IF('Transfers'!A30="","",'Transfers'!H30)</x:f>
      </x:c>
      <x:c r="L30" s="5" t="str">
        <x:f>IF('Transfers'!A30="","",'Transfers'!X30)</x:f>
      </x:c>
    </x:row>
    <x:row r="31" ht="24" customHeight="1">
      <x:c r="A31" s="5" t="str">
        <x:f>IF('Transfers'!A31="","","ethereum:"&amp;'Transfers'!M31)</x:f>
      </x:c>
      <x:c r="B31" s="5" t="str">
        <x:f>IF('Transfers'!A31="","","ethereum:"&amp;'Transfers'!N31)</x:f>
      </x:c>
      <x:c r="C31" s="5" t="str">
        <x:f>IF('Transfers'!A31="","","Directed")</x:f>
      </x:c>
      <x:c r="D31" s="5" t="str">
        <x:f>IF('Transfers'!A31="","",'Transfers'!A31)</x:f>
      </x:c>
      <x:c r="E31" s="5" t="str">
        <x:f>IF('Transfers'!A31="","",'Transfers'!G31&amp;" "&amp;'Transfers'!C31)</x:f>
      </x:c>
      <x:c r="F31" s="5" t="str">
        <x:f>IF('Transfers'!A31="","",'Transfers'!C31)</x:f>
      </x:c>
      <x:c r="G31" s="7" t="str">
        <x:f>IF('Transfers'!A31="","",'Transfers'!F31)</x:f>
      </x:c>
      <x:c r="H31" s="5" t="str">
        <x:f>IF('Transfers'!A31="","",'Transfers'!G31)</x:f>
      </x:c>
      <x:c r="I31" s="5" t="str">
        <x:f>IF('Transfers'!A31="","",'Transfers'!O31)</x:f>
      </x:c>
      <x:c r="J31" s="5" t="str">
        <x:f>IF('Transfers'!A31="","",'Transfers'!I31)</x:f>
      </x:c>
      <x:c r="K31" s="5" t="str">
        <x:f>IF('Transfers'!A31="","",'Transfers'!H31)</x:f>
      </x:c>
      <x:c r="L31" s="5" t="str">
        <x:f>IF('Transfers'!A31="","",'Transfers'!X31)</x:f>
      </x:c>
    </x:row>
    <x:row r="32" ht="24" customHeight="1">
      <x:c r="A32" s="5" t="str">
        <x:f>IF('Transfers'!A32="","","ethereum:"&amp;'Transfers'!M32)</x:f>
      </x:c>
      <x:c r="B32" s="5" t="str">
        <x:f>IF('Transfers'!A32="","","ethereum:"&amp;'Transfers'!N32)</x:f>
      </x:c>
      <x:c r="C32" s="5" t="str">
        <x:f>IF('Transfers'!A32="","","Directed")</x:f>
      </x:c>
      <x:c r="D32" s="5" t="str">
        <x:f>IF('Transfers'!A32="","",'Transfers'!A32)</x:f>
      </x:c>
      <x:c r="E32" s="5" t="str">
        <x:f>IF('Transfers'!A32="","",'Transfers'!G32&amp;" "&amp;'Transfers'!C32)</x:f>
      </x:c>
      <x:c r="F32" s="5" t="str">
        <x:f>IF('Transfers'!A32="","",'Transfers'!C32)</x:f>
      </x:c>
      <x:c r="G32" s="7" t="str">
        <x:f>IF('Transfers'!A32="","",'Transfers'!F32)</x:f>
      </x:c>
      <x:c r="H32" s="5" t="str">
        <x:f>IF('Transfers'!A32="","",'Transfers'!G32)</x:f>
      </x:c>
      <x:c r="I32" s="5" t="str">
        <x:f>IF('Transfers'!A32="","",'Transfers'!O32)</x:f>
      </x:c>
      <x:c r="J32" s="5" t="str">
        <x:f>IF('Transfers'!A32="","",'Transfers'!I32)</x:f>
      </x:c>
      <x:c r="K32" s="5" t="str">
        <x:f>IF('Transfers'!A32="","",'Transfers'!H32)</x:f>
      </x:c>
      <x:c r="L32" s="5" t="str">
        <x:f>IF('Transfers'!A32="","",'Transfers'!X32)</x:f>
      </x:c>
    </x:row>
    <x:row r="33" ht="24" customHeight="1">
      <x:c r="A33" s="5" t="str">
        <x:f>IF('Transfers'!A33="","","ethereum:"&amp;'Transfers'!M33)</x:f>
      </x:c>
      <x:c r="B33" s="5" t="str">
        <x:f>IF('Transfers'!A33="","","ethereum:"&amp;'Transfers'!N33)</x:f>
      </x:c>
      <x:c r="C33" s="5" t="str">
        <x:f>IF('Transfers'!A33="","","Directed")</x:f>
      </x:c>
      <x:c r="D33" s="5" t="str">
        <x:f>IF('Transfers'!A33="","",'Transfers'!A33)</x:f>
      </x:c>
      <x:c r="E33" s="5" t="str">
        <x:f>IF('Transfers'!A33="","",'Transfers'!G33&amp;" "&amp;'Transfers'!C33)</x:f>
      </x:c>
      <x:c r="F33" s="5" t="str">
        <x:f>IF('Transfers'!A33="","",'Transfers'!C33)</x:f>
      </x:c>
      <x:c r="G33" s="7" t="str">
        <x:f>IF('Transfers'!A33="","",'Transfers'!F33)</x:f>
      </x:c>
      <x:c r="H33" s="5" t="str">
        <x:f>IF('Transfers'!A33="","",'Transfers'!G33)</x:f>
      </x:c>
      <x:c r="I33" s="5" t="str">
        <x:f>IF('Transfers'!A33="","",'Transfers'!O33)</x:f>
      </x:c>
      <x:c r="J33" s="5" t="str">
        <x:f>IF('Transfers'!A33="","",'Transfers'!I33)</x:f>
      </x:c>
      <x:c r="K33" s="5" t="str">
        <x:f>IF('Transfers'!A33="","",'Transfers'!H33)</x:f>
      </x:c>
      <x:c r="L33" s="5" t="str">
        <x:f>IF('Transfers'!A33="","",'Transfers'!X33)</x:f>
      </x:c>
    </x:row>
    <x:row r="34" ht="24" customHeight="1">
      <x:c r="A34" s="5" t="str">
        <x:f>IF('Transfers'!A34="","","ethereum:"&amp;'Transfers'!M34)</x:f>
      </x:c>
      <x:c r="B34" s="5" t="str">
        <x:f>IF('Transfers'!A34="","","ethereum:"&amp;'Transfers'!N34)</x:f>
      </x:c>
      <x:c r="C34" s="5" t="str">
        <x:f>IF('Transfers'!A34="","","Directed")</x:f>
      </x:c>
      <x:c r="D34" s="5" t="str">
        <x:f>IF('Transfers'!A34="","",'Transfers'!A34)</x:f>
      </x:c>
      <x:c r="E34" s="5" t="str">
        <x:f>IF('Transfers'!A34="","",'Transfers'!G34&amp;" "&amp;'Transfers'!C34)</x:f>
      </x:c>
      <x:c r="F34" s="5" t="str">
        <x:f>IF('Transfers'!A34="","",'Transfers'!C34)</x:f>
      </x:c>
      <x:c r="G34" s="7" t="str">
        <x:f>IF('Transfers'!A34="","",'Transfers'!F34)</x:f>
      </x:c>
      <x:c r="H34" s="5" t="str">
        <x:f>IF('Transfers'!A34="","",'Transfers'!G34)</x:f>
      </x:c>
      <x:c r="I34" s="5" t="str">
        <x:f>IF('Transfers'!A34="","",'Transfers'!O34)</x:f>
      </x:c>
      <x:c r="J34" s="5" t="str">
        <x:f>IF('Transfers'!A34="","",'Transfers'!I34)</x:f>
      </x:c>
      <x:c r="K34" s="5" t="str">
        <x:f>IF('Transfers'!A34="","",'Transfers'!H34)</x:f>
      </x:c>
      <x:c r="L34" s="5" t="str">
        <x:f>IF('Transfers'!A34="","",'Transfers'!X34)</x:f>
      </x:c>
    </x:row>
    <x:row r="35" ht="24" customHeight="1">
      <x:c r="A35" s="5" t="str">
        <x:f>IF('Transfers'!A35="","","ethereum:"&amp;'Transfers'!M35)</x:f>
      </x:c>
      <x:c r="B35" s="5" t="str">
        <x:f>IF('Transfers'!A35="","","ethereum:"&amp;'Transfers'!N35)</x:f>
      </x:c>
      <x:c r="C35" s="5" t="str">
        <x:f>IF('Transfers'!A35="","","Directed")</x:f>
      </x:c>
      <x:c r="D35" s="5" t="str">
        <x:f>IF('Transfers'!A35="","",'Transfers'!A35)</x:f>
      </x:c>
      <x:c r="E35" s="5" t="str">
        <x:f>IF('Transfers'!A35="","",'Transfers'!G35&amp;" "&amp;'Transfers'!C35)</x:f>
      </x:c>
      <x:c r="F35" s="5" t="str">
        <x:f>IF('Transfers'!A35="","",'Transfers'!C35)</x:f>
      </x:c>
      <x:c r="G35" s="7" t="str">
        <x:f>IF('Transfers'!A35="","",'Transfers'!F35)</x:f>
      </x:c>
      <x:c r="H35" s="5" t="str">
        <x:f>IF('Transfers'!A35="","",'Transfers'!G35)</x:f>
      </x:c>
      <x:c r="I35" s="5" t="str">
        <x:f>IF('Transfers'!A35="","",'Transfers'!O35)</x:f>
      </x:c>
      <x:c r="J35" s="5" t="str">
        <x:f>IF('Transfers'!A35="","",'Transfers'!I35)</x:f>
      </x:c>
      <x:c r="K35" s="5" t="str">
        <x:f>IF('Transfers'!A35="","",'Transfers'!H35)</x:f>
      </x:c>
      <x:c r="L35" s="5" t="str">
        <x:f>IF('Transfers'!A35="","",'Transfers'!X35)</x:f>
      </x:c>
    </x:row>
    <x:row r="36" ht="24" customHeight="1">
      <x:c r="A36" s="5" t="str">
        <x:f>IF('Transfers'!A36="","","ethereum:"&amp;'Transfers'!M36)</x:f>
      </x:c>
      <x:c r="B36" s="5" t="str">
        <x:f>IF('Transfers'!A36="","","ethereum:"&amp;'Transfers'!N36)</x:f>
      </x:c>
      <x:c r="C36" s="5" t="str">
        <x:f>IF('Transfers'!A36="","","Directed")</x:f>
      </x:c>
      <x:c r="D36" s="5" t="str">
        <x:f>IF('Transfers'!A36="","",'Transfers'!A36)</x:f>
      </x:c>
      <x:c r="E36" s="5" t="str">
        <x:f>IF('Transfers'!A36="","",'Transfers'!G36&amp;" "&amp;'Transfers'!C36)</x:f>
      </x:c>
      <x:c r="F36" s="5" t="str">
        <x:f>IF('Transfers'!A36="","",'Transfers'!C36)</x:f>
      </x:c>
      <x:c r="G36" s="7" t="str">
        <x:f>IF('Transfers'!A36="","",'Transfers'!F36)</x:f>
      </x:c>
      <x:c r="H36" s="5" t="str">
        <x:f>IF('Transfers'!A36="","",'Transfers'!G36)</x:f>
      </x:c>
      <x:c r="I36" s="5" t="str">
        <x:f>IF('Transfers'!A36="","",'Transfers'!O36)</x:f>
      </x:c>
      <x:c r="J36" s="5" t="str">
        <x:f>IF('Transfers'!A36="","",'Transfers'!I36)</x:f>
      </x:c>
      <x:c r="K36" s="5" t="str">
        <x:f>IF('Transfers'!A36="","",'Transfers'!H36)</x:f>
      </x:c>
      <x:c r="L36" s="5" t="str">
        <x:f>IF('Transfers'!A36="","",'Transfers'!X36)</x:f>
      </x:c>
    </x:row>
    <x:row r="37" ht="24" customHeight="1">
      <x:c r="A37" s="5" t="str">
        <x:f>IF('Transfers'!A37="","","ethereum:"&amp;'Transfers'!M37)</x:f>
      </x:c>
      <x:c r="B37" s="5" t="str">
        <x:f>IF('Transfers'!A37="","","ethereum:"&amp;'Transfers'!N37)</x:f>
      </x:c>
      <x:c r="C37" s="5" t="str">
        <x:f>IF('Transfers'!A37="","","Directed")</x:f>
      </x:c>
      <x:c r="D37" s="5" t="str">
        <x:f>IF('Transfers'!A37="","",'Transfers'!A37)</x:f>
      </x:c>
      <x:c r="E37" s="5" t="str">
        <x:f>IF('Transfers'!A37="","",'Transfers'!G37&amp;" "&amp;'Transfers'!C37)</x:f>
      </x:c>
      <x:c r="F37" s="5" t="str">
        <x:f>IF('Transfers'!A37="","",'Transfers'!C37)</x:f>
      </x:c>
      <x:c r="G37" s="7" t="str">
        <x:f>IF('Transfers'!A37="","",'Transfers'!F37)</x:f>
      </x:c>
      <x:c r="H37" s="5" t="str">
        <x:f>IF('Transfers'!A37="","",'Transfers'!G37)</x:f>
      </x:c>
      <x:c r="I37" s="5" t="str">
        <x:f>IF('Transfers'!A37="","",'Transfers'!O37)</x:f>
      </x:c>
      <x:c r="J37" s="5" t="str">
        <x:f>IF('Transfers'!A37="","",'Transfers'!I37)</x:f>
      </x:c>
      <x:c r="K37" s="5" t="str">
        <x:f>IF('Transfers'!A37="","",'Transfers'!H37)</x:f>
      </x:c>
      <x:c r="L37" s="5" t="str">
        <x:f>IF('Transfers'!A37="","",'Transfers'!X37)</x:f>
      </x:c>
    </x:row>
    <x:row r="38" ht="24" customHeight="1">
      <x:c r="A38" s="5" t="str">
        <x:f>IF('Transfers'!A38="","","ethereum:"&amp;'Transfers'!M38)</x:f>
      </x:c>
      <x:c r="B38" s="5" t="str">
        <x:f>IF('Transfers'!A38="","","ethereum:"&amp;'Transfers'!N38)</x:f>
      </x:c>
      <x:c r="C38" s="5" t="str">
        <x:f>IF('Transfers'!A38="","","Directed")</x:f>
      </x:c>
      <x:c r="D38" s="5" t="str">
        <x:f>IF('Transfers'!A38="","",'Transfers'!A38)</x:f>
      </x:c>
      <x:c r="E38" s="5" t="str">
        <x:f>IF('Transfers'!A38="","",'Transfers'!G38&amp;" "&amp;'Transfers'!C38)</x:f>
      </x:c>
      <x:c r="F38" s="5" t="str">
        <x:f>IF('Transfers'!A38="","",'Transfers'!C38)</x:f>
      </x:c>
      <x:c r="G38" s="7" t="str">
        <x:f>IF('Transfers'!A38="","",'Transfers'!F38)</x:f>
      </x:c>
      <x:c r="H38" s="5" t="str">
        <x:f>IF('Transfers'!A38="","",'Transfers'!G38)</x:f>
      </x:c>
      <x:c r="I38" s="5" t="str">
        <x:f>IF('Transfers'!A38="","",'Transfers'!O38)</x:f>
      </x:c>
      <x:c r="J38" s="5" t="str">
        <x:f>IF('Transfers'!A38="","",'Transfers'!I38)</x:f>
      </x:c>
      <x:c r="K38" s="5" t="str">
        <x:f>IF('Transfers'!A38="","",'Transfers'!H38)</x:f>
      </x:c>
      <x:c r="L38" s="5" t="str">
        <x:f>IF('Transfers'!A38="","",'Transfers'!X38)</x:f>
      </x:c>
    </x:row>
    <x:row r="39" ht="24" customHeight="1">
      <x:c r="A39" s="5" t="str">
        <x:f>IF('Transfers'!A39="","","ethereum:"&amp;'Transfers'!M39)</x:f>
      </x:c>
      <x:c r="B39" s="5" t="str">
        <x:f>IF('Transfers'!A39="","","ethereum:"&amp;'Transfers'!N39)</x:f>
      </x:c>
      <x:c r="C39" s="5" t="str">
        <x:f>IF('Transfers'!A39="","","Directed")</x:f>
      </x:c>
      <x:c r="D39" s="5" t="str">
        <x:f>IF('Transfers'!A39="","",'Transfers'!A39)</x:f>
      </x:c>
      <x:c r="E39" s="5" t="str">
        <x:f>IF('Transfers'!A39="","",'Transfers'!G39&amp;" "&amp;'Transfers'!C39)</x:f>
      </x:c>
      <x:c r="F39" s="5" t="str">
        <x:f>IF('Transfers'!A39="","",'Transfers'!C39)</x:f>
      </x:c>
      <x:c r="G39" s="7" t="str">
        <x:f>IF('Transfers'!A39="","",'Transfers'!F39)</x:f>
      </x:c>
      <x:c r="H39" s="5" t="str">
        <x:f>IF('Transfers'!A39="","",'Transfers'!G39)</x:f>
      </x:c>
      <x:c r="I39" s="5" t="str">
        <x:f>IF('Transfers'!A39="","",'Transfers'!O39)</x:f>
      </x:c>
      <x:c r="J39" s="5" t="str">
        <x:f>IF('Transfers'!A39="","",'Transfers'!I39)</x:f>
      </x:c>
      <x:c r="K39" s="5" t="str">
        <x:f>IF('Transfers'!A39="","",'Transfers'!H39)</x:f>
      </x:c>
      <x:c r="L39" s="5" t="str">
        <x:f>IF('Transfers'!A39="","",'Transfers'!X39)</x:f>
      </x:c>
    </x:row>
    <x:row r="40" ht="24" customHeight="1">
      <x:c r="A40" s="5" t="str">
        <x:f>IF('Transfers'!A40="","","ethereum:"&amp;'Transfers'!M40)</x:f>
      </x:c>
      <x:c r="B40" s="5" t="str">
        <x:f>IF('Transfers'!A40="","","ethereum:"&amp;'Transfers'!N40)</x:f>
      </x:c>
      <x:c r="C40" s="5" t="str">
        <x:f>IF('Transfers'!A40="","","Directed")</x:f>
      </x:c>
      <x:c r="D40" s="5" t="str">
        <x:f>IF('Transfers'!A40="","",'Transfers'!A40)</x:f>
      </x:c>
      <x:c r="E40" s="5" t="str">
        <x:f>IF('Transfers'!A40="","",'Transfers'!G40&amp;" "&amp;'Transfers'!C40)</x:f>
      </x:c>
      <x:c r="F40" s="5" t="str">
        <x:f>IF('Transfers'!A40="","",'Transfers'!C40)</x:f>
      </x:c>
      <x:c r="G40" s="7" t="str">
        <x:f>IF('Transfers'!A40="","",'Transfers'!F40)</x:f>
      </x:c>
      <x:c r="H40" s="5" t="str">
        <x:f>IF('Transfers'!A40="","",'Transfers'!G40)</x:f>
      </x:c>
      <x:c r="I40" s="5" t="str">
        <x:f>IF('Transfers'!A40="","",'Transfers'!O40)</x:f>
      </x:c>
      <x:c r="J40" s="5" t="str">
        <x:f>IF('Transfers'!A40="","",'Transfers'!I40)</x:f>
      </x:c>
      <x:c r="K40" s="5" t="str">
        <x:f>IF('Transfers'!A40="","",'Transfers'!H40)</x:f>
      </x:c>
      <x:c r="L40" s="5" t="str">
        <x:f>IF('Transfers'!A40="","",'Transfers'!X40)</x:f>
      </x:c>
    </x:row>
    <x:row r="41" ht="24" customHeight="1">
      <x:c r="A41" s="5" t="str">
        <x:f>IF('Transfers'!A41="","","ethereum:"&amp;'Transfers'!M41)</x:f>
      </x:c>
      <x:c r="B41" s="5" t="str">
        <x:f>IF('Transfers'!A41="","","ethereum:"&amp;'Transfers'!N41)</x:f>
      </x:c>
      <x:c r="C41" s="5" t="str">
        <x:f>IF('Transfers'!A41="","","Directed")</x:f>
      </x:c>
      <x:c r="D41" s="5" t="str">
        <x:f>IF('Transfers'!A41="","",'Transfers'!A41)</x:f>
      </x:c>
      <x:c r="E41" s="5" t="str">
        <x:f>IF('Transfers'!A41="","",'Transfers'!G41&amp;" "&amp;'Transfers'!C41)</x:f>
      </x:c>
      <x:c r="F41" s="5" t="str">
        <x:f>IF('Transfers'!A41="","",'Transfers'!C41)</x:f>
      </x:c>
      <x:c r="G41" s="7" t="str">
        <x:f>IF('Transfers'!A41="","",'Transfers'!F41)</x:f>
      </x:c>
      <x:c r="H41" s="5" t="str">
        <x:f>IF('Transfers'!A41="","",'Transfers'!G41)</x:f>
      </x:c>
      <x:c r="I41" s="5" t="str">
        <x:f>IF('Transfers'!A41="","",'Transfers'!O41)</x:f>
      </x:c>
      <x:c r="J41" s="5" t="str">
        <x:f>IF('Transfers'!A41="","",'Transfers'!I41)</x:f>
      </x:c>
      <x:c r="K41" s="5" t="str">
        <x:f>IF('Transfers'!A41="","",'Transfers'!H41)</x:f>
      </x:c>
      <x:c r="L41" s="5" t="str">
        <x:f>IF('Transfers'!A41="","",'Transfers'!X41)</x:f>
      </x:c>
    </x:row>
    <x:row r="42" ht="24" customHeight="1">
      <x:c r="A42" s="5" t="str">
        <x:f>IF('Transfers'!A42="","","ethereum:"&amp;'Transfers'!M42)</x:f>
      </x:c>
      <x:c r="B42" s="5" t="str">
        <x:f>IF('Transfers'!A42="","","ethereum:"&amp;'Transfers'!N42)</x:f>
      </x:c>
      <x:c r="C42" s="5" t="str">
        <x:f>IF('Transfers'!A42="","","Directed")</x:f>
      </x:c>
      <x:c r="D42" s="5" t="str">
        <x:f>IF('Transfers'!A42="","",'Transfers'!A42)</x:f>
      </x:c>
      <x:c r="E42" s="5" t="str">
        <x:f>IF('Transfers'!A42="","",'Transfers'!G42&amp;" "&amp;'Transfers'!C42)</x:f>
      </x:c>
      <x:c r="F42" s="5" t="str">
        <x:f>IF('Transfers'!A42="","",'Transfers'!C42)</x:f>
      </x:c>
      <x:c r="G42" s="7" t="str">
        <x:f>IF('Transfers'!A42="","",'Transfers'!F42)</x:f>
      </x:c>
      <x:c r="H42" s="5" t="str">
        <x:f>IF('Transfers'!A42="","",'Transfers'!G42)</x:f>
      </x:c>
      <x:c r="I42" s="5" t="str">
        <x:f>IF('Transfers'!A42="","",'Transfers'!O42)</x:f>
      </x:c>
      <x:c r="J42" s="5" t="str">
        <x:f>IF('Transfers'!A42="","",'Transfers'!I42)</x:f>
      </x:c>
      <x:c r="K42" s="5" t="str">
        <x:f>IF('Transfers'!A42="","",'Transfers'!H42)</x:f>
      </x:c>
      <x:c r="L42" s="5" t="str">
        <x:f>IF('Transfers'!A42="","",'Transfers'!X42)</x:f>
      </x:c>
    </x:row>
    <x:row r="43" ht="24" customHeight="1">
      <x:c r="A43" s="5" t="str">
        <x:f>IF('Transfers'!A43="","","ethereum:"&amp;'Transfers'!M43)</x:f>
      </x:c>
      <x:c r="B43" s="5" t="str">
        <x:f>IF('Transfers'!A43="","","ethereum:"&amp;'Transfers'!N43)</x:f>
      </x:c>
      <x:c r="C43" s="5" t="str">
        <x:f>IF('Transfers'!A43="","","Directed")</x:f>
      </x:c>
      <x:c r="D43" s="5" t="str">
        <x:f>IF('Transfers'!A43="","",'Transfers'!A43)</x:f>
      </x:c>
      <x:c r="E43" s="5" t="str">
        <x:f>IF('Transfers'!A43="","",'Transfers'!G43&amp;" "&amp;'Transfers'!C43)</x:f>
      </x:c>
      <x:c r="F43" s="5" t="str">
        <x:f>IF('Transfers'!A43="","",'Transfers'!C43)</x:f>
      </x:c>
      <x:c r="G43" s="7" t="str">
        <x:f>IF('Transfers'!A43="","",'Transfers'!F43)</x:f>
      </x:c>
      <x:c r="H43" s="5" t="str">
        <x:f>IF('Transfers'!A43="","",'Transfers'!G43)</x:f>
      </x:c>
      <x:c r="I43" s="5" t="str">
        <x:f>IF('Transfers'!A43="","",'Transfers'!O43)</x:f>
      </x:c>
      <x:c r="J43" s="5" t="str">
        <x:f>IF('Transfers'!A43="","",'Transfers'!I43)</x:f>
      </x:c>
      <x:c r="K43" s="5" t="str">
        <x:f>IF('Transfers'!A43="","",'Transfers'!H43)</x:f>
      </x:c>
      <x:c r="L43" s="5" t="str">
        <x:f>IF('Transfers'!A43="","",'Transfers'!X43)</x:f>
      </x:c>
    </x:row>
    <x:row r="44" ht="24" customHeight="1">
      <x:c r="A44" s="5" t="str">
        <x:f>IF('Transfers'!A44="","","ethereum:"&amp;'Transfers'!M44)</x:f>
      </x:c>
      <x:c r="B44" s="5" t="str">
        <x:f>IF('Transfers'!A44="","","ethereum:"&amp;'Transfers'!N44)</x:f>
      </x:c>
      <x:c r="C44" s="5" t="str">
        <x:f>IF('Transfers'!A44="","","Directed")</x:f>
      </x:c>
      <x:c r="D44" s="5" t="str">
        <x:f>IF('Transfers'!A44="","",'Transfers'!A44)</x:f>
      </x:c>
      <x:c r="E44" s="5" t="str">
        <x:f>IF('Transfers'!A44="","",'Transfers'!G44&amp;" "&amp;'Transfers'!C44)</x:f>
      </x:c>
      <x:c r="F44" s="5" t="str">
        <x:f>IF('Transfers'!A44="","",'Transfers'!C44)</x:f>
      </x:c>
      <x:c r="G44" s="7" t="str">
        <x:f>IF('Transfers'!A44="","",'Transfers'!F44)</x:f>
      </x:c>
      <x:c r="H44" s="5" t="str">
        <x:f>IF('Transfers'!A44="","",'Transfers'!G44)</x:f>
      </x:c>
      <x:c r="I44" s="5" t="str">
        <x:f>IF('Transfers'!A44="","",'Transfers'!O44)</x:f>
      </x:c>
      <x:c r="J44" s="5" t="str">
        <x:f>IF('Transfers'!A44="","",'Transfers'!I44)</x:f>
      </x:c>
      <x:c r="K44" s="5" t="str">
        <x:f>IF('Transfers'!A44="","",'Transfers'!H44)</x:f>
      </x:c>
      <x:c r="L44" s="5" t="str">
        <x:f>IF('Transfers'!A44="","",'Transfers'!X44)</x:f>
      </x:c>
    </x:row>
    <x:row r="45" ht="24" customHeight="1">
      <x:c r="A45" s="5" t="str">
        <x:f>IF('Transfers'!A45="","","ethereum:"&amp;'Transfers'!M45)</x:f>
      </x:c>
      <x:c r="B45" s="5" t="str">
        <x:f>IF('Transfers'!A45="","","ethereum:"&amp;'Transfers'!N45)</x:f>
      </x:c>
      <x:c r="C45" s="5" t="str">
        <x:f>IF('Transfers'!A45="","","Directed")</x:f>
      </x:c>
      <x:c r="D45" s="5" t="str">
        <x:f>IF('Transfers'!A45="","",'Transfers'!A45)</x:f>
      </x:c>
      <x:c r="E45" s="5" t="str">
        <x:f>IF('Transfers'!A45="","",'Transfers'!G45&amp;" "&amp;'Transfers'!C45)</x:f>
      </x:c>
      <x:c r="F45" s="5" t="str">
        <x:f>IF('Transfers'!A45="","",'Transfers'!C45)</x:f>
      </x:c>
      <x:c r="G45" s="7" t="str">
        <x:f>IF('Transfers'!A45="","",'Transfers'!F45)</x:f>
      </x:c>
      <x:c r="H45" s="5" t="str">
        <x:f>IF('Transfers'!A45="","",'Transfers'!G45)</x:f>
      </x:c>
      <x:c r="I45" s="5" t="str">
        <x:f>IF('Transfers'!A45="","",'Transfers'!O45)</x:f>
      </x:c>
      <x:c r="J45" s="5" t="str">
        <x:f>IF('Transfers'!A45="","",'Transfers'!I45)</x:f>
      </x:c>
      <x:c r="K45" s="5" t="str">
        <x:f>IF('Transfers'!A45="","",'Transfers'!H45)</x:f>
      </x:c>
      <x:c r="L45" s="5" t="str">
        <x:f>IF('Transfers'!A45="","",'Transfers'!X45)</x:f>
      </x:c>
    </x:row>
    <x:row r="46" ht="24" customHeight="1">
      <x:c r="A46" s="5" t="str">
        <x:f>IF('Transfers'!A46="","","ethereum:"&amp;'Transfers'!M46)</x:f>
      </x:c>
      <x:c r="B46" s="5" t="str">
        <x:f>IF('Transfers'!A46="","","ethereum:"&amp;'Transfers'!N46)</x:f>
      </x:c>
      <x:c r="C46" s="5" t="str">
        <x:f>IF('Transfers'!A46="","","Directed")</x:f>
      </x:c>
      <x:c r="D46" s="5" t="str">
        <x:f>IF('Transfers'!A46="","",'Transfers'!A46)</x:f>
      </x:c>
      <x:c r="E46" s="5" t="str">
        <x:f>IF('Transfers'!A46="","",'Transfers'!G46&amp;" "&amp;'Transfers'!C46)</x:f>
      </x:c>
      <x:c r="F46" s="5" t="str">
        <x:f>IF('Transfers'!A46="","",'Transfers'!C46)</x:f>
      </x:c>
      <x:c r="G46" s="7" t="str">
        <x:f>IF('Transfers'!A46="","",'Transfers'!F46)</x:f>
      </x:c>
      <x:c r="H46" s="5" t="str">
        <x:f>IF('Transfers'!A46="","",'Transfers'!G46)</x:f>
      </x:c>
      <x:c r="I46" s="5" t="str">
        <x:f>IF('Transfers'!A46="","",'Transfers'!O46)</x:f>
      </x:c>
      <x:c r="J46" s="5" t="str">
        <x:f>IF('Transfers'!A46="","",'Transfers'!I46)</x:f>
      </x:c>
      <x:c r="K46" s="5" t="str">
        <x:f>IF('Transfers'!A46="","",'Transfers'!H46)</x:f>
      </x:c>
      <x:c r="L46" s="5" t="str">
        <x:f>IF('Transfers'!A46="","",'Transfers'!X46)</x:f>
      </x:c>
    </x:row>
    <x:row r="47" ht="24" customHeight="1">
      <x:c r="A47" s="5" t="str">
        <x:f>IF('Transfers'!A47="","","ethereum:"&amp;'Transfers'!M47)</x:f>
      </x:c>
      <x:c r="B47" s="5" t="str">
        <x:f>IF('Transfers'!A47="","","ethereum:"&amp;'Transfers'!N47)</x:f>
      </x:c>
      <x:c r="C47" s="5" t="str">
        <x:f>IF('Transfers'!A47="","","Directed")</x:f>
      </x:c>
      <x:c r="D47" s="5" t="str">
        <x:f>IF('Transfers'!A47="","",'Transfers'!A47)</x:f>
      </x:c>
      <x:c r="E47" s="5" t="str">
        <x:f>IF('Transfers'!A47="","",'Transfers'!G47&amp;" "&amp;'Transfers'!C47)</x:f>
      </x:c>
      <x:c r="F47" s="5" t="str">
        <x:f>IF('Transfers'!A47="","",'Transfers'!C47)</x:f>
      </x:c>
      <x:c r="G47" s="7" t="str">
        <x:f>IF('Transfers'!A47="","",'Transfers'!F47)</x:f>
      </x:c>
      <x:c r="H47" s="5" t="str">
        <x:f>IF('Transfers'!A47="","",'Transfers'!G47)</x:f>
      </x:c>
      <x:c r="I47" s="5" t="str">
        <x:f>IF('Transfers'!A47="","",'Transfers'!O47)</x:f>
      </x:c>
      <x:c r="J47" s="5" t="str">
        <x:f>IF('Transfers'!A47="","",'Transfers'!I47)</x:f>
      </x:c>
      <x:c r="K47" s="5" t="str">
        <x:f>IF('Transfers'!A47="","",'Transfers'!H47)</x:f>
      </x:c>
      <x:c r="L47" s="5" t="str">
        <x:f>IF('Transfers'!A47="","",'Transfers'!X47)</x:f>
      </x:c>
    </x:row>
    <x:row r="48" ht="24" customHeight="1">
      <x:c r="A48" s="5" t="str">
        <x:f>IF('Transfers'!A48="","","ethereum:"&amp;'Transfers'!M48)</x:f>
      </x:c>
      <x:c r="B48" s="5" t="str">
        <x:f>IF('Transfers'!A48="","","ethereum:"&amp;'Transfers'!N48)</x:f>
      </x:c>
      <x:c r="C48" s="5" t="str">
        <x:f>IF('Transfers'!A48="","","Directed")</x:f>
      </x:c>
      <x:c r="D48" s="5" t="str">
        <x:f>IF('Transfers'!A48="","",'Transfers'!A48)</x:f>
      </x:c>
      <x:c r="E48" s="5" t="str">
        <x:f>IF('Transfers'!A48="","",'Transfers'!G48&amp;" "&amp;'Transfers'!C48)</x:f>
      </x:c>
      <x:c r="F48" s="5" t="str">
        <x:f>IF('Transfers'!A48="","",'Transfers'!C48)</x:f>
      </x:c>
      <x:c r="G48" s="7" t="str">
        <x:f>IF('Transfers'!A48="","",'Transfers'!F48)</x:f>
      </x:c>
      <x:c r="H48" s="5" t="str">
        <x:f>IF('Transfers'!A48="","",'Transfers'!G48)</x:f>
      </x:c>
      <x:c r="I48" s="5" t="str">
        <x:f>IF('Transfers'!A48="","",'Transfers'!O48)</x:f>
      </x:c>
      <x:c r="J48" s="5" t="str">
        <x:f>IF('Transfers'!A48="","",'Transfers'!I48)</x:f>
      </x:c>
      <x:c r="K48" s="5" t="str">
        <x:f>IF('Transfers'!A48="","",'Transfers'!H48)</x:f>
      </x:c>
      <x:c r="L48" s="5" t="str">
        <x:f>IF('Transfers'!A48="","",'Transfers'!X48)</x:f>
      </x:c>
    </x:row>
    <x:row r="49" ht="24" customHeight="1">
      <x:c r="A49" s="5" t="str">
        <x:f>IF('Transfers'!A49="","","ethereum:"&amp;'Transfers'!M49)</x:f>
      </x:c>
      <x:c r="B49" s="5" t="str">
        <x:f>IF('Transfers'!A49="","","ethereum:"&amp;'Transfers'!N49)</x:f>
      </x:c>
      <x:c r="C49" s="5" t="str">
        <x:f>IF('Transfers'!A49="","","Directed")</x:f>
      </x:c>
      <x:c r="D49" s="5" t="str">
        <x:f>IF('Transfers'!A49="","",'Transfers'!A49)</x:f>
      </x:c>
      <x:c r="E49" s="5" t="str">
        <x:f>IF('Transfers'!A49="","",'Transfers'!G49&amp;" "&amp;'Transfers'!C49)</x:f>
      </x:c>
      <x:c r="F49" s="5" t="str">
        <x:f>IF('Transfers'!A49="","",'Transfers'!C49)</x:f>
      </x:c>
      <x:c r="G49" s="7" t="str">
        <x:f>IF('Transfers'!A49="","",'Transfers'!F49)</x:f>
      </x:c>
      <x:c r="H49" s="5" t="str">
        <x:f>IF('Transfers'!A49="","",'Transfers'!G49)</x:f>
      </x:c>
      <x:c r="I49" s="5" t="str">
        <x:f>IF('Transfers'!A49="","",'Transfers'!O49)</x:f>
      </x:c>
      <x:c r="J49" s="5" t="str">
        <x:f>IF('Transfers'!A49="","",'Transfers'!I49)</x:f>
      </x:c>
      <x:c r="K49" s="5" t="str">
        <x:f>IF('Transfers'!A49="","",'Transfers'!H49)</x:f>
      </x:c>
      <x:c r="L49" s="5" t="str">
        <x:f>IF('Transfers'!A49="","",'Transfers'!X49)</x:f>
      </x:c>
    </x:row>
    <x:row r="50" ht="24" customHeight="1">
      <x:c r="A50" s="5" t="str">
        <x:f>IF('Transfers'!A50="","","ethereum:"&amp;'Transfers'!M50)</x:f>
      </x:c>
      <x:c r="B50" s="5" t="str">
        <x:f>IF('Transfers'!A50="","","ethereum:"&amp;'Transfers'!N50)</x:f>
      </x:c>
      <x:c r="C50" s="5" t="str">
        <x:f>IF('Transfers'!A50="","","Directed")</x:f>
      </x:c>
      <x:c r="D50" s="5" t="str">
        <x:f>IF('Transfers'!A50="","",'Transfers'!A50)</x:f>
      </x:c>
      <x:c r="E50" s="5" t="str">
        <x:f>IF('Transfers'!A50="","",'Transfers'!G50&amp;" "&amp;'Transfers'!C50)</x:f>
      </x:c>
      <x:c r="F50" s="5" t="str">
        <x:f>IF('Transfers'!A50="","",'Transfers'!C50)</x:f>
      </x:c>
      <x:c r="G50" s="7" t="str">
        <x:f>IF('Transfers'!A50="","",'Transfers'!F50)</x:f>
      </x:c>
      <x:c r="H50" s="5" t="str">
        <x:f>IF('Transfers'!A50="","",'Transfers'!G50)</x:f>
      </x:c>
      <x:c r="I50" s="5" t="str">
        <x:f>IF('Transfers'!A50="","",'Transfers'!O50)</x:f>
      </x:c>
      <x:c r="J50" s="5" t="str">
        <x:f>IF('Transfers'!A50="","",'Transfers'!I50)</x:f>
      </x:c>
      <x:c r="K50" s="5" t="str">
        <x:f>IF('Transfers'!A50="","",'Transfers'!H50)</x:f>
      </x:c>
      <x:c r="L50" s="5" t="str">
        <x:f>IF('Transfers'!A50="","",'Transfers'!X50)</x:f>
      </x:c>
    </x:row>
    <x:row r="51" ht="24" customHeight="1">
      <x:c r="A51" s="5" t="str">
        <x:f>IF('Transfers'!A51="","","ethereum:"&amp;'Transfers'!M51)</x:f>
      </x:c>
      <x:c r="B51" s="5" t="str">
        <x:f>IF('Transfers'!A51="","","ethereum:"&amp;'Transfers'!N51)</x:f>
      </x:c>
      <x:c r="C51" s="5" t="str">
        <x:f>IF('Transfers'!A51="","","Directed")</x:f>
      </x:c>
      <x:c r="D51" s="5" t="str">
        <x:f>IF('Transfers'!A51="","",'Transfers'!A51)</x:f>
      </x:c>
      <x:c r="E51" s="5" t="str">
        <x:f>IF('Transfers'!A51="","",'Transfers'!G51&amp;" "&amp;'Transfers'!C51)</x:f>
      </x:c>
      <x:c r="F51" s="5" t="str">
        <x:f>IF('Transfers'!A51="","",'Transfers'!C51)</x:f>
      </x:c>
      <x:c r="G51" s="7" t="str">
        <x:f>IF('Transfers'!A51="","",'Transfers'!F51)</x:f>
      </x:c>
      <x:c r="H51" s="5" t="str">
        <x:f>IF('Transfers'!A51="","",'Transfers'!G51)</x:f>
      </x:c>
      <x:c r="I51" s="5" t="str">
        <x:f>IF('Transfers'!A51="","",'Transfers'!O51)</x:f>
      </x:c>
      <x:c r="J51" s="5" t="str">
        <x:f>IF('Transfers'!A51="","",'Transfers'!I51)</x:f>
      </x:c>
      <x:c r="K51" s="5" t="str">
        <x:f>IF('Transfers'!A51="","",'Transfers'!H51)</x:f>
      </x:c>
      <x:c r="L51" s="5" t="str">
        <x:f>IF('Transfers'!A51="","",'Transfers'!X51)</x:f>
      </x:c>
    </x:row>
    <x:row r="52" ht="24" customHeight="1">
      <x:c r="A52" s="5" t="str">
        <x:f>IF('Transfers'!A52="","","ethereum:"&amp;'Transfers'!M52)</x:f>
      </x:c>
      <x:c r="B52" s="5" t="str">
        <x:f>IF('Transfers'!A52="","","ethereum:"&amp;'Transfers'!N52)</x:f>
      </x:c>
      <x:c r="C52" s="5" t="str">
        <x:f>IF('Transfers'!A52="","","Directed")</x:f>
      </x:c>
      <x:c r="D52" s="5" t="str">
        <x:f>IF('Transfers'!A52="","",'Transfers'!A52)</x:f>
      </x:c>
      <x:c r="E52" s="5" t="str">
        <x:f>IF('Transfers'!A52="","",'Transfers'!G52&amp;" "&amp;'Transfers'!C52)</x:f>
      </x:c>
      <x:c r="F52" s="5" t="str">
        <x:f>IF('Transfers'!A52="","",'Transfers'!C52)</x:f>
      </x:c>
      <x:c r="G52" s="7" t="str">
        <x:f>IF('Transfers'!A52="","",'Transfers'!F52)</x:f>
      </x:c>
      <x:c r="H52" s="5" t="str">
        <x:f>IF('Transfers'!A52="","",'Transfers'!G52)</x:f>
      </x:c>
      <x:c r="I52" s="5" t="str">
        <x:f>IF('Transfers'!A52="","",'Transfers'!O52)</x:f>
      </x:c>
      <x:c r="J52" s="5" t="str">
        <x:f>IF('Transfers'!A52="","",'Transfers'!I52)</x:f>
      </x:c>
      <x:c r="K52" s="5" t="str">
        <x:f>IF('Transfers'!A52="","",'Transfers'!H52)</x:f>
      </x:c>
      <x:c r="L52" s="5" t="str">
        <x:f>IF('Transfers'!A52="","",'Transfers'!X52)</x:f>
      </x:c>
    </x:row>
    <x:row r="53" ht="24" customHeight="1">
      <x:c r="A53" s="5" t="str">
        <x:f>IF('Transfers'!A53="","","ethereum:"&amp;'Transfers'!M53)</x:f>
      </x:c>
      <x:c r="B53" s="5" t="str">
        <x:f>IF('Transfers'!A53="","","ethereum:"&amp;'Transfers'!N53)</x:f>
      </x:c>
      <x:c r="C53" s="5" t="str">
        <x:f>IF('Transfers'!A53="","","Directed")</x:f>
      </x:c>
      <x:c r="D53" s="5" t="str">
        <x:f>IF('Transfers'!A53="","",'Transfers'!A53)</x:f>
      </x:c>
      <x:c r="E53" s="5" t="str">
        <x:f>IF('Transfers'!A53="","",'Transfers'!G53&amp;" "&amp;'Transfers'!C53)</x:f>
      </x:c>
      <x:c r="F53" s="5" t="str">
        <x:f>IF('Transfers'!A53="","",'Transfers'!C53)</x:f>
      </x:c>
      <x:c r="G53" s="7" t="str">
        <x:f>IF('Transfers'!A53="","",'Transfers'!F53)</x:f>
      </x:c>
      <x:c r="H53" s="5" t="str">
        <x:f>IF('Transfers'!A53="","",'Transfers'!G53)</x:f>
      </x:c>
      <x:c r="I53" s="5" t="str">
        <x:f>IF('Transfers'!A53="","",'Transfers'!O53)</x:f>
      </x:c>
      <x:c r="J53" s="5" t="str">
        <x:f>IF('Transfers'!A53="","",'Transfers'!I53)</x:f>
      </x:c>
      <x:c r="K53" s="5" t="str">
        <x:f>IF('Transfers'!A53="","",'Transfers'!H53)</x:f>
      </x:c>
      <x:c r="L53" s="5" t="str">
        <x:f>IF('Transfers'!A53="","",'Transfers'!X53)</x:f>
      </x:c>
    </x:row>
    <x:row r="54" ht="24" customHeight="1">
      <x:c r="A54" s="5" t="str">
        <x:f>IF('Transfers'!A54="","","ethereum:"&amp;'Transfers'!M54)</x:f>
      </x:c>
      <x:c r="B54" s="5" t="str">
        <x:f>IF('Transfers'!A54="","","ethereum:"&amp;'Transfers'!N54)</x:f>
      </x:c>
      <x:c r="C54" s="5" t="str">
        <x:f>IF('Transfers'!A54="","","Directed")</x:f>
      </x:c>
      <x:c r="D54" s="5" t="str">
        <x:f>IF('Transfers'!A54="","",'Transfers'!A54)</x:f>
      </x:c>
      <x:c r="E54" s="5" t="str">
        <x:f>IF('Transfers'!A54="","",'Transfers'!G54&amp;" "&amp;'Transfers'!C54)</x:f>
      </x:c>
      <x:c r="F54" s="5" t="str">
        <x:f>IF('Transfers'!A54="","",'Transfers'!C54)</x:f>
      </x:c>
      <x:c r="G54" s="7" t="str">
        <x:f>IF('Transfers'!A54="","",'Transfers'!F54)</x:f>
      </x:c>
      <x:c r="H54" s="5" t="str">
        <x:f>IF('Transfers'!A54="","",'Transfers'!G54)</x:f>
      </x:c>
      <x:c r="I54" s="5" t="str">
        <x:f>IF('Transfers'!A54="","",'Transfers'!O54)</x:f>
      </x:c>
      <x:c r="J54" s="5" t="str">
        <x:f>IF('Transfers'!A54="","",'Transfers'!I54)</x:f>
      </x:c>
      <x:c r="K54" s="5" t="str">
        <x:f>IF('Transfers'!A54="","",'Transfers'!H54)</x:f>
      </x:c>
      <x:c r="L54" s="5" t="str">
        <x:f>IF('Transfers'!A54="","",'Transfers'!X54)</x:f>
      </x:c>
    </x:row>
    <x:row r="55" ht="24" customHeight="1">
      <x:c r="A55" s="5" t="str">
        <x:f>IF('Transfers'!A55="","","ethereum:"&amp;'Transfers'!M55)</x:f>
      </x:c>
      <x:c r="B55" s="5" t="str">
        <x:f>IF('Transfers'!A55="","","ethereum:"&amp;'Transfers'!N55)</x:f>
      </x:c>
      <x:c r="C55" s="5" t="str">
        <x:f>IF('Transfers'!A55="","","Directed")</x:f>
      </x:c>
      <x:c r="D55" s="5" t="str">
        <x:f>IF('Transfers'!A55="","",'Transfers'!A55)</x:f>
      </x:c>
      <x:c r="E55" s="5" t="str">
        <x:f>IF('Transfers'!A55="","",'Transfers'!G55&amp;" "&amp;'Transfers'!C55)</x:f>
      </x:c>
      <x:c r="F55" s="5" t="str">
        <x:f>IF('Transfers'!A55="","",'Transfers'!C55)</x:f>
      </x:c>
      <x:c r="G55" s="7" t="str">
        <x:f>IF('Transfers'!A55="","",'Transfers'!F55)</x:f>
      </x:c>
      <x:c r="H55" s="5" t="str">
        <x:f>IF('Transfers'!A55="","",'Transfers'!G55)</x:f>
      </x:c>
      <x:c r="I55" s="5" t="str">
        <x:f>IF('Transfers'!A55="","",'Transfers'!O55)</x:f>
      </x:c>
      <x:c r="J55" s="5" t="str">
        <x:f>IF('Transfers'!A55="","",'Transfers'!I55)</x:f>
      </x:c>
      <x:c r="K55" s="5" t="str">
        <x:f>IF('Transfers'!A55="","",'Transfers'!H55)</x:f>
      </x:c>
      <x:c r="L55" s="5" t="str">
        <x:f>IF('Transfers'!A55="","",'Transfers'!X55)</x:f>
      </x:c>
    </x:row>
    <x:row r="56" ht="24" customHeight="1">
      <x:c r="A56" s="5" t="str">
        <x:f>IF('Transfers'!A56="","","ethereum:"&amp;'Transfers'!M56)</x:f>
      </x:c>
      <x:c r="B56" s="5" t="str">
        <x:f>IF('Transfers'!A56="","","ethereum:"&amp;'Transfers'!N56)</x:f>
      </x:c>
      <x:c r="C56" s="5" t="str">
        <x:f>IF('Transfers'!A56="","","Directed")</x:f>
      </x:c>
      <x:c r="D56" s="5" t="str">
        <x:f>IF('Transfers'!A56="","",'Transfers'!A56)</x:f>
      </x:c>
      <x:c r="E56" s="5" t="str">
        <x:f>IF('Transfers'!A56="","",'Transfers'!G56&amp;" "&amp;'Transfers'!C56)</x:f>
      </x:c>
      <x:c r="F56" s="5" t="str">
        <x:f>IF('Transfers'!A56="","",'Transfers'!C56)</x:f>
      </x:c>
      <x:c r="G56" s="7" t="str">
        <x:f>IF('Transfers'!A56="","",'Transfers'!F56)</x:f>
      </x:c>
      <x:c r="H56" s="5" t="str">
        <x:f>IF('Transfers'!A56="","",'Transfers'!G56)</x:f>
      </x:c>
      <x:c r="I56" s="5" t="str">
        <x:f>IF('Transfers'!A56="","",'Transfers'!O56)</x:f>
      </x:c>
      <x:c r="J56" s="5" t="str">
        <x:f>IF('Transfers'!A56="","",'Transfers'!I56)</x:f>
      </x:c>
      <x:c r="K56" s="5" t="str">
        <x:f>IF('Transfers'!A56="","",'Transfers'!H56)</x:f>
      </x:c>
      <x:c r="L56" s="5" t="str">
        <x:f>IF('Transfers'!A56="","",'Transfers'!X56)</x:f>
      </x:c>
    </x:row>
    <x:row r="57" ht="24" customHeight="1">
      <x:c r="A57" s="5" t="str">
        <x:f>IF('Transfers'!A57="","","ethereum:"&amp;'Transfers'!M57)</x:f>
      </x:c>
      <x:c r="B57" s="5" t="str">
        <x:f>IF('Transfers'!A57="","","ethereum:"&amp;'Transfers'!N57)</x:f>
      </x:c>
      <x:c r="C57" s="5" t="str">
        <x:f>IF('Transfers'!A57="","","Directed")</x:f>
      </x:c>
      <x:c r="D57" s="5" t="str">
        <x:f>IF('Transfers'!A57="","",'Transfers'!A57)</x:f>
      </x:c>
      <x:c r="E57" s="5" t="str">
        <x:f>IF('Transfers'!A57="","",'Transfers'!G57&amp;" "&amp;'Transfers'!C57)</x:f>
      </x:c>
      <x:c r="F57" s="5" t="str">
        <x:f>IF('Transfers'!A57="","",'Transfers'!C57)</x:f>
      </x:c>
      <x:c r="G57" s="7" t="str">
        <x:f>IF('Transfers'!A57="","",'Transfers'!F57)</x:f>
      </x:c>
      <x:c r="H57" s="5" t="str">
        <x:f>IF('Transfers'!A57="","",'Transfers'!G57)</x:f>
      </x:c>
      <x:c r="I57" s="5" t="str">
        <x:f>IF('Transfers'!A57="","",'Transfers'!O57)</x:f>
      </x:c>
      <x:c r="J57" s="5" t="str">
        <x:f>IF('Transfers'!A57="","",'Transfers'!I57)</x:f>
      </x:c>
      <x:c r="K57" s="5" t="str">
        <x:f>IF('Transfers'!A57="","",'Transfers'!H57)</x:f>
      </x:c>
      <x:c r="L57" s="5" t="str">
        <x:f>IF('Transfers'!A57="","",'Transfers'!X57)</x:f>
      </x:c>
    </x:row>
    <x:row r="58" ht="24" customHeight="1">
      <x:c r="A58" s="5" t="str">
        <x:f>IF('Transfers'!A58="","","ethereum:"&amp;'Transfers'!M58)</x:f>
      </x:c>
      <x:c r="B58" s="5" t="str">
        <x:f>IF('Transfers'!A58="","","ethereum:"&amp;'Transfers'!N58)</x:f>
      </x:c>
      <x:c r="C58" s="5" t="str">
        <x:f>IF('Transfers'!A58="","","Directed")</x:f>
      </x:c>
      <x:c r="D58" s="5" t="str">
        <x:f>IF('Transfers'!A58="","",'Transfers'!A58)</x:f>
      </x:c>
      <x:c r="E58" s="5" t="str">
        <x:f>IF('Transfers'!A58="","",'Transfers'!G58&amp;" "&amp;'Transfers'!C58)</x:f>
      </x:c>
      <x:c r="F58" s="5" t="str">
        <x:f>IF('Transfers'!A58="","",'Transfers'!C58)</x:f>
      </x:c>
      <x:c r="G58" s="7" t="str">
        <x:f>IF('Transfers'!A58="","",'Transfers'!F58)</x:f>
      </x:c>
      <x:c r="H58" s="5" t="str">
        <x:f>IF('Transfers'!A58="","",'Transfers'!G58)</x:f>
      </x:c>
      <x:c r="I58" s="5" t="str">
        <x:f>IF('Transfers'!A58="","",'Transfers'!O58)</x:f>
      </x:c>
      <x:c r="J58" s="5" t="str">
        <x:f>IF('Transfers'!A58="","",'Transfers'!I58)</x:f>
      </x:c>
      <x:c r="K58" s="5" t="str">
        <x:f>IF('Transfers'!A58="","",'Transfers'!H58)</x:f>
      </x:c>
      <x:c r="L58" s="5" t="str">
        <x:f>IF('Transfers'!A58="","",'Transfers'!X58)</x:f>
      </x:c>
    </x:row>
    <x:row r="59" ht="24" customHeight="1">
      <x:c r="A59" s="5" t="str">
        <x:f>IF('Transfers'!A59="","","ethereum:"&amp;'Transfers'!M59)</x:f>
      </x:c>
      <x:c r="B59" s="5" t="str">
        <x:f>IF('Transfers'!A59="","","ethereum:"&amp;'Transfers'!N59)</x:f>
      </x:c>
      <x:c r="C59" s="5" t="str">
        <x:f>IF('Transfers'!A59="","","Directed")</x:f>
      </x:c>
      <x:c r="D59" s="5" t="str">
        <x:f>IF('Transfers'!A59="","",'Transfers'!A59)</x:f>
      </x:c>
      <x:c r="E59" s="5" t="str">
        <x:f>IF('Transfers'!A59="","",'Transfers'!G59&amp;" "&amp;'Transfers'!C59)</x:f>
      </x:c>
      <x:c r="F59" s="5" t="str">
        <x:f>IF('Transfers'!A59="","",'Transfers'!C59)</x:f>
      </x:c>
      <x:c r="G59" s="7" t="str">
        <x:f>IF('Transfers'!A59="","",'Transfers'!F59)</x:f>
      </x:c>
      <x:c r="H59" s="5" t="str">
        <x:f>IF('Transfers'!A59="","",'Transfers'!G59)</x:f>
      </x:c>
      <x:c r="I59" s="5" t="str">
        <x:f>IF('Transfers'!A59="","",'Transfers'!O59)</x:f>
      </x:c>
      <x:c r="J59" s="5" t="str">
        <x:f>IF('Transfers'!A59="","",'Transfers'!I59)</x:f>
      </x:c>
      <x:c r="K59" s="5" t="str">
        <x:f>IF('Transfers'!A59="","",'Transfers'!H59)</x:f>
      </x:c>
      <x:c r="L59" s="5" t="str">
        <x:f>IF('Transfers'!A59="","",'Transfers'!X59)</x:f>
      </x:c>
    </x:row>
    <x:row r="60" ht="24" customHeight="1">
      <x:c r="A60" s="5" t="str">
        <x:f>IF('Transfers'!A60="","","ethereum:"&amp;'Transfers'!M60)</x:f>
      </x:c>
      <x:c r="B60" s="5" t="str">
        <x:f>IF('Transfers'!A60="","","ethereum:"&amp;'Transfers'!N60)</x:f>
      </x:c>
      <x:c r="C60" s="5" t="str">
        <x:f>IF('Transfers'!A60="","","Directed")</x:f>
      </x:c>
      <x:c r="D60" s="5" t="str">
        <x:f>IF('Transfers'!A60="","",'Transfers'!A60)</x:f>
      </x:c>
      <x:c r="E60" s="5" t="str">
        <x:f>IF('Transfers'!A60="","",'Transfers'!G60&amp;" "&amp;'Transfers'!C60)</x:f>
      </x:c>
      <x:c r="F60" s="5" t="str">
        <x:f>IF('Transfers'!A60="","",'Transfers'!C60)</x:f>
      </x:c>
      <x:c r="G60" s="7" t="str">
        <x:f>IF('Transfers'!A60="","",'Transfers'!F60)</x:f>
      </x:c>
      <x:c r="H60" s="5" t="str">
        <x:f>IF('Transfers'!A60="","",'Transfers'!G60)</x:f>
      </x:c>
      <x:c r="I60" s="5" t="str">
        <x:f>IF('Transfers'!A60="","",'Transfers'!O60)</x:f>
      </x:c>
      <x:c r="J60" s="5" t="str">
        <x:f>IF('Transfers'!A60="","",'Transfers'!I60)</x:f>
      </x:c>
      <x:c r="K60" s="5" t="str">
        <x:f>IF('Transfers'!A60="","",'Transfers'!H60)</x:f>
      </x:c>
      <x:c r="L60" s="5" t="str">
        <x:f>IF('Transfers'!A60="","",'Transfers'!X60)</x:f>
      </x:c>
    </x:row>
    <x:row r="61" ht="24" customHeight="1">
      <x:c r="A61" s="5" t="str">
        <x:f>IF('Transfers'!A61="","","ethereum:"&amp;'Transfers'!M61)</x:f>
      </x:c>
      <x:c r="B61" s="5" t="str">
        <x:f>IF('Transfers'!A61="","","ethereum:"&amp;'Transfers'!N61)</x:f>
      </x:c>
      <x:c r="C61" s="5" t="str">
        <x:f>IF('Transfers'!A61="","","Directed")</x:f>
      </x:c>
      <x:c r="D61" s="5" t="str">
        <x:f>IF('Transfers'!A61="","",'Transfers'!A61)</x:f>
      </x:c>
      <x:c r="E61" s="5" t="str">
        <x:f>IF('Transfers'!A61="","",'Transfers'!G61&amp;" "&amp;'Transfers'!C61)</x:f>
      </x:c>
      <x:c r="F61" s="5" t="str">
        <x:f>IF('Transfers'!A61="","",'Transfers'!C61)</x:f>
      </x:c>
      <x:c r="G61" s="7" t="str">
        <x:f>IF('Transfers'!A61="","",'Transfers'!F61)</x:f>
      </x:c>
      <x:c r="H61" s="5" t="str">
        <x:f>IF('Transfers'!A61="","",'Transfers'!G61)</x:f>
      </x:c>
      <x:c r="I61" s="5" t="str">
        <x:f>IF('Transfers'!A61="","",'Transfers'!O61)</x:f>
      </x:c>
      <x:c r="J61" s="5" t="str">
        <x:f>IF('Transfers'!A61="","",'Transfers'!I61)</x:f>
      </x:c>
      <x:c r="K61" s="5" t="str">
        <x:f>IF('Transfers'!A61="","",'Transfers'!H61)</x:f>
      </x:c>
      <x:c r="L61" s="5" t="str">
        <x:f>IF('Transfers'!A61="","",'Transfers'!X61)</x:f>
      </x:c>
    </x:row>
    <x:row r="62" ht="24" customHeight="1">
      <x:c r="A62" s="5" t="str">
        <x:f>IF('Transfers'!A62="","","ethereum:"&amp;'Transfers'!M62)</x:f>
      </x:c>
      <x:c r="B62" s="5" t="str">
        <x:f>IF('Transfers'!A62="","","ethereum:"&amp;'Transfers'!N62)</x:f>
      </x:c>
      <x:c r="C62" s="5" t="str">
        <x:f>IF('Transfers'!A62="","","Directed")</x:f>
      </x:c>
      <x:c r="D62" s="5" t="str">
        <x:f>IF('Transfers'!A62="","",'Transfers'!A62)</x:f>
      </x:c>
      <x:c r="E62" s="5" t="str">
        <x:f>IF('Transfers'!A62="","",'Transfers'!G62&amp;" "&amp;'Transfers'!C62)</x:f>
      </x:c>
      <x:c r="F62" s="5" t="str">
        <x:f>IF('Transfers'!A62="","",'Transfers'!C62)</x:f>
      </x:c>
      <x:c r="G62" s="7" t="str">
        <x:f>IF('Transfers'!A62="","",'Transfers'!F62)</x:f>
      </x:c>
      <x:c r="H62" s="5" t="str">
        <x:f>IF('Transfers'!A62="","",'Transfers'!G62)</x:f>
      </x:c>
      <x:c r="I62" s="5" t="str">
        <x:f>IF('Transfers'!A62="","",'Transfers'!O62)</x:f>
      </x:c>
      <x:c r="J62" s="5" t="str">
        <x:f>IF('Transfers'!A62="","",'Transfers'!I62)</x:f>
      </x:c>
      <x:c r="K62" s="5" t="str">
        <x:f>IF('Transfers'!A62="","",'Transfers'!H62)</x:f>
      </x:c>
      <x:c r="L62" s="5" t="str">
        <x:f>IF('Transfers'!A62="","",'Transfers'!X62)</x:f>
      </x:c>
    </x:row>
    <x:row r="63" ht="24" customHeight="1">
      <x:c r="A63" s="5" t="str">
        <x:f>IF('Transfers'!A63="","","ethereum:"&amp;'Transfers'!M63)</x:f>
      </x:c>
      <x:c r="B63" s="5" t="str">
        <x:f>IF('Transfers'!A63="","","ethereum:"&amp;'Transfers'!N63)</x:f>
      </x:c>
      <x:c r="C63" s="5" t="str">
        <x:f>IF('Transfers'!A63="","","Directed")</x:f>
      </x:c>
      <x:c r="D63" s="5" t="str">
        <x:f>IF('Transfers'!A63="","",'Transfers'!A63)</x:f>
      </x:c>
      <x:c r="E63" s="5" t="str">
        <x:f>IF('Transfers'!A63="","",'Transfers'!G63&amp;" "&amp;'Transfers'!C63)</x:f>
      </x:c>
      <x:c r="F63" s="5" t="str">
        <x:f>IF('Transfers'!A63="","",'Transfers'!C63)</x:f>
      </x:c>
      <x:c r="G63" s="7" t="str">
        <x:f>IF('Transfers'!A63="","",'Transfers'!F63)</x:f>
      </x:c>
      <x:c r="H63" s="5" t="str">
        <x:f>IF('Transfers'!A63="","",'Transfers'!G63)</x:f>
      </x:c>
      <x:c r="I63" s="5" t="str">
        <x:f>IF('Transfers'!A63="","",'Transfers'!O63)</x:f>
      </x:c>
      <x:c r="J63" s="5" t="str">
        <x:f>IF('Transfers'!A63="","",'Transfers'!I63)</x:f>
      </x:c>
      <x:c r="K63" s="5" t="str">
        <x:f>IF('Transfers'!A63="","",'Transfers'!H63)</x:f>
      </x:c>
      <x:c r="L63" s="5" t="str">
        <x:f>IF('Transfers'!A63="","",'Transfers'!X63)</x:f>
      </x:c>
    </x:row>
    <x:row r="64" ht="24" customHeight="1">
      <x:c r="A64" s="5" t="str">
        <x:f>IF('Transfers'!A64="","","ethereum:"&amp;'Transfers'!M64)</x:f>
      </x:c>
      <x:c r="B64" s="5" t="str">
        <x:f>IF('Transfers'!A64="","","ethereum:"&amp;'Transfers'!N64)</x:f>
      </x:c>
      <x:c r="C64" s="5" t="str">
        <x:f>IF('Transfers'!A64="","","Directed")</x:f>
      </x:c>
      <x:c r="D64" s="5" t="str">
        <x:f>IF('Transfers'!A64="","",'Transfers'!A64)</x:f>
      </x:c>
      <x:c r="E64" s="5" t="str">
        <x:f>IF('Transfers'!A64="","",'Transfers'!G64&amp;" "&amp;'Transfers'!C64)</x:f>
      </x:c>
      <x:c r="F64" s="5" t="str">
        <x:f>IF('Transfers'!A64="","",'Transfers'!C64)</x:f>
      </x:c>
      <x:c r="G64" s="7" t="str">
        <x:f>IF('Transfers'!A64="","",'Transfers'!F64)</x:f>
      </x:c>
      <x:c r="H64" s="5" t="str">
        <x:f>IF('Transfers'!A64="","",'Transfers'!G64)</x:f>
      </x:c>
      <x:c r="I64" s="5" t="str">
        <x:f>IF('Transfers'!A64="","",'Transfers'!O64)</x:f>
      </x:c>
      <x:c r="J64" s="5" t="str">
        <x:f>IF('Transfers'!A64="","",'Transfers'!I64)</x:f>
      </x:c>
      <x:c r="K64" s="5" t="str">
        <x:f>IF('Transfers'!A64="","",'Transfers'!H64)</x:f>
      </x:c>
      <x:c r="L64" s="5" t="str">
        <x:f>IF('Transfers'!A64="","",'Transfers'!X64)</x:f>
      </x:c>
    </x:row>
    <x:row r="65" ht="24" customHeight="1">
      <x:c r="A65" s="5" t="str">
        <x:f>IF('Transfers'!A65="","","ethereum:"&amp;'Transfers'!M65)</x:f>
      </x:c>
      <x:c r="B65" s="5" t="str">
        <x:f>IF('Transfers'!A65="","","ethereum:"&amp;'Transfers'!N65)</x:f>
      </x:c>
      <x:c r="C65" s="5" t="str">
        <x:f>IF('Transfers'!A65="","","Directed")</x:f>
      </x:c>
      <x:c r="D65" s="5" t="str">
        <x:f>IF('Transfers'!A65="","",'Transfers'!A65)</x:f>
      </x:c>
      <x:c r="E65" s="5" t="str">
        <x:f>IF('Transfers'!A65="","",'Transfers'!G65&amp;" "&amp;'Transfers'!C65)</x:f>
      </x:c>
      <x:c r="F65" s="5" t="str">
        <x:f>IF('Transfers'!A65="","",'Transfers'!C65)</x:f>
      </x:c>
      <x:c r="G65" s="7" t="str">
        <x:f>IF('Transfers'!A65="","",'Transfers'!F65)</x:f>
      </x:c>
      <x:c r="H65" s="5" t="str">
        <x:f>IF('Transfers'!A65="","",'Transfers'!G65)</x:f>
      </x:c>
      <x:c r="I65" s="5" t="str">
        <x:f>IF('Transfers'!A65="","",'Transfers'!O65)</x:f>
      </x:c>
      <x:c r="J65" s="5" t="str">
        <x:f>IF('Transfers'!A65="","",'Transfers'!I65)</x:f>
      </x:c>
      <x:c r="K65" s="5" t="str">
        <x:f>IF('Transfers'!A65="","",'Transfers'!H65)</x:f>
      </x:c>
      <x:c r="L65" s="5" t="str">
        <x:f>IF('Transfers'!A65="","",'Transfers'!X65)</x:f>
      </x:c>
    </x:row>
    <x:row r="66" ht="24" customHeight="1">
      <x:c r="A66" s="5" t="str">
        <x:f>IF('Transfers'!A66="","","ethereum:"&amp;'Transfers'!M66)</x:f>
      </x:c>
      <x:c r="B66" s="5" t="str">
        <x:f>IF('Transfers'!A66="","","ethereum:"&amp;'Transfers'!N66)</x:f>
      </x:c>
      <x:c r="C66" s="5" t="str">
        <x:f>IF('Transfers'!A66="","","Directed")</x:f>
      </x:c>
      <x:c r="D66" s="5" t="str">
        <x:f>IF('Transfers'!A66="","",'Transfers'!A66)</x:f>
      </x:c>
      <x:c r="E66" s="5" t="str">
        <x:f>IF('Transfers'!A66="","",'Transfers'!G66&amp;" "&amp;'Transfers'!C66)</x:f>
      </x:c>
      <x:c r="F66" s="5" t="str">
        <x:f>IF('Transfers'!A66="","",'Transfers'!C66)</x:f>
      </x:c>
      <x:c r="G66" s="7" t="str">
        <x:f>IF('Transfers'!A66="","",'Transfers'!F66)</x:f>
      </x:c>
      <x:c r="H66" s="5" t="str">
        <x:f>IF('Transfers'!A66="","",'Transfers'!G66)</x:f>
      </x:c>
      <x:c r="I66" s="5" t="str">
        <x:f>IF('Transfers'!A66="","",'Transfers'!O66)</x:f>
      </x:c>
      <x:c r="J66" s="5" t="str">
        <x:f>IF('Transfers'!A66="","",'Transfers'!I66)</x:f>
      </x:c>
      <x:c r="K66" s="5" t="str">
        <x:f>IF('Transfers'!A66="","",'Transfers'!H66)</x:f>
      </x:c>
      <x:c r="L66" s="5" t="str">
        <x:f>IF('Transfers'!A66="","",'Transfers'!X66)</x:f>
      </x:c>
    </x:row>
    <x:row r="67" ht="24" customHeight="1">
      <x:c r="A67" s="5" t="str">
        <x:f>IF('Transfers'!A67="","","ethereum:"&amp;'Transfers'!M67)</x:f>
      </x:c>
      <x:c r="B67" s="5" t="str">
        <x:f>IF('Transfers'!A67="","","ethereum:"&amp;'Transfers'!N67)</x:f>
      </x:c>
      <x:c r="C67" s="5" t="str">
        <x:f>IF('Transfers'!A67="","","Directed")</x:f>
      </x:c>
      <x:c r="D67" s="5" t="str">
        <x:f>IF('Transfers'!A67="","",'Transfers'!A67)</x:f>
      </x:c>
      <x:c r="E67" s="5" t="str">
        <x:f>IF('Transfers'!A67="","",'Transfers'!G67&amp;" "&amp;'Transfers'!C67)</x:f>
      </x:c>
      <x:c r="F67" s="5" t="str">
        <x:f>IF('Transfers'!A67="","",'Transfers'!C67)</x:f>
      </x:c>
      <x:c r="G67" s="7" t="str">
        <x:f>IF('Transfers'!A67="","",'Transfers'!F67)</x:f>
      </x:c>
      <x:c r="H67" s="5" t="str">
        <x:f>IF('Transfers'!A67="","",'Transfers'!G67)</x:f>
      </x:c>
      <x:c r="I67" s="5" t="str">
        <x:f>IF('Transfers'!A67="","",'Transfers'!O67)</x:f>
      </x:c>
      <x:c r="J67" s="5" t="str">
        <x:f>IF('Transfers'!A67="","",'Transfers'!I67)</x:f>
      </x:c>
      <x:c r="K67" s="5" t="str">
        <x:f>IF('Transfers'!A67="","",'Transfers'!H67)</x:f>
      </x:c>
      <x:c r="L67" s="5" t="str">
        <x:f>IF('Transfers'!A67="","",'Transfers'!X67)</x:f>
      </x:c>
    </x:row>
    <x:row r="68" ht="24" customHeight="1">
      <x:c r="A68" s="5" t="str">
        <x:f>IF('Transfers'!A68="","","ethereum:"&amp;'Transfers'!M68)</x:f>
      </x:c>
      <x:c r="B68" s="5" t="str">
        <x:f>IF('Transfers'!A68="","","ethereum:"&amp;'Transfers'!N68)</x:f>
      </x:c>
      <x:c r="C68" s="5" t="str">
        <x:f>IF('Transfers'!A68="","","Directed")</x:f>
      </x:c>
      <x:c r="D68" s="5" t="str">
        <x:f>IF('Transfers'!A68="","",'Transfers'!A68)</x:f>
      </x:c>
      <x:c r="E68" s="5" t="str">
        <x:f>IF('Transfers'!A68="","",'Transfers'!G68&amp;" "&amp;'Transfers'!C68)</x:f>
      </x:c>
      <x:c r="F68" s="5" t="str">
        <x:f>IF('Transfers'!A68="","",'Transfers'!C68)</x:f>
      </x:c>
      <x:c r="G68" s="7" t="str">
        <x:f>IF('Transfers'!A68="","",'Transfers'!F68)</x:f>
      </x:c>
      <x:c r="H68" s="5" t="str">
        <x:f>IF('Transfers'!A68="","",'Transfers'!G68)</x:f>
      </x:c>
      <x:c r="I68" s="5" t="str">
        <x:f>IF('Transfers'!A68="","",'Transfers'!O68)</x:f>
      </x:c>
      <x:c r="J68" s="5" t="str">
        <x:f>IF('Transfers'!A68="","",'Transfers'!I68)</x:f>
      </x:c>
      <x:c r="K68" s="5" t="str">
        <x:f>IF('Transfers'!A68="","",'Transfers'!H68)</x:f>
      </x:c>
      <x:c r="L68" s="5" t="str">
        <x:f>IF('Transfers'!A68="","",'Transfers'!X68)</x:f>
      </x:c>
    </x:row>
    <x:row r="69" ht="24" customHeight="1">
      <x:c r="A69" s="5" t="str">
        <x:f>IF('Transfers'!A69="","","ethereum:"&amp;'Transfers'!M69)</x:f>
      </x:c>
      <x:c r="B69" s="5" t="str">
        <x:f>IF('Transfers'!A69="","","ethereum:"&amp;'Transfers'!N69)</x:f>
      </x:c>
      <x:c r="C69" s="5" t="str">
        <x:f>IF('Transfers'!A69="","","Directed")</x:f>
      </x:c>
      <x:c r="D69" s="5" t="str">
        <x:f>IF('Transfers'!A69="","",'Transfers'!A69)</x:f>
      </x:c>
      <x:c r="E69" s="5" t="str">
        <x:f>IF('Transfers'!A69="","",'Transfers'!G69&amp;" "&amp;'Transfers'!C69)</x:f>
      </x:c>
      <x:c r="F69" s="5" t="str">
        <x:f>IF('Transfers'!A69="","",'Transfers'!C69)</x:f>
      </x:c>
      <x:c r="G69" s="7" t="str">
        <x:f>IF('Transfers'!A69="","",'Transfers'!F69)</x:f>
      </x:c>
      <x:c r="H69" s="5" t="str">
        <x:f>IF('Transfers'!A69="","",'Transfers'!G69)</x:f>
      </x:c>
      <x:c r="I69" s="5" t="str">
        <x:f>IF('Transfers'!A69="","",'Transfers'!O69)</x:f>
      </x:c>
      <x:c r="J69" s="5" t="str">
        <x:f>IF('Transfers'!A69="","",'Transfers'!I69)</x:f>
      </x:c>
      <x:c r="K69" s="5" t="str">
        <x:f>IF('Transfers'!A69="","",'Transfers'!H69)</x:f>
      </x:c>
      <x:c r="L69" s="5" t="str">
        <x:f>IF('Transfers'!A69="","",'Transfers'!X69)</x:f>
      </x:c>
    </x:row>
    <x:row r="70" ht="24" customHeight="1">
      <x:c r="A70" s="5" t="str">
        <x:f>IF('Transfers'!A70="","","ethereum:"&amp;'Transfers'!M70)</x:f>
      </x:c>
      <x:c r="B70" s="5" t="str">
        <x:f>IF('Transfers'!A70="","","ethereum:"&amp;'Transfers'!N70)</x:f>
      </x:c>
      <x:c r="C70" s="5" t="str">
        <x:f>IF('Transfers'!A70="","","Directed")</x:f>
      </x:c>
      <x:c r="D70" s="5" t="str">
        <x:f>IF('Transfers'!A70="","",'Transfers'!A70)</x:f>
      </x:c>
      <x:c r="E70" s="5" t="str">
        <x:f>IF('Transfers'!A70="","",'Transfers'!G70&amp;" "&amp;'Transfers'!C70)</x:f>
      </x:c>
      <x:c r="F70" s="5" t="str">
        <x:f>IF('Transfers'!A70="","",'Transfers'!C70)</x:f>
      </x:c>
      <x:c r="G70" s="7" t="str">
        <x:f>IF('Transfers'!A70="","",'Transfers'!F70)</x:f>
      </x:c>
      <x:c r="H70" s="5" t="str">
        <x:f>IF('Transfers'!A70="","",'Transfers'!G70)</x:f>
      </x:c>
      <x:c r="I70" s="5" t="str">
        <x:f>IF('Transfers'!A70="","",'Transfers'!O70)</x:f>
      </x:c>
      <x:c r="J70" s="5" t="str">
        <x:f>IF('Transfers'!A70="","",'Transfers'!I70)</x:f>
      </x:c>
      <x:c r="K70" s="5" t="str">
        <x:f>IF('Transfers'!A70="","",'Transfers'!H70)</x:f>
      </x:c>
      <x:c r="L70" s="5" t="str">
        <x:f>IF('Transfers'!A70="","",'Transfers'!X70)</x:f>
      </x:c>
    </x:row>
    <x:row r="71" ht="24" customHeight="1">
      <x:c r="A71" s="5" t="str">
        <x:f>IF('Transfers'!A71="","","ethereum:"&amp;'Transfers'!M71)</x:f>
      </x:c>
      <x:c r="B71" s="5" t="str">
        <x:f>IF('Transfers'!A71="","","ethereum:"&amp;'Transfers'!N71)</x:f>
      </x:c>
      <x:c r="C71" s="5" t="str">
        <x:f>IF('Transfers'!A71="","","Directed")</x:f>
      </x:c>
      <x:c r="D71" s="5" t="str">
        <x:f>IF('Transfers'!A71="","",'Transfers'!A71)</x:f>
      </x:c>
      <x:c r="E71" s="5" t="str">
        <x:f>IF('Transfers'!A71="","",'Transfers'!G71&amp;" "&amp;'Transfers'!C71)</x:f>
      </x:c>
      <x:c r="F71" s="5" t="str">
        <x:f>IF('Transfers'!A71="","",'Transfers'!C71)</x:f>
      </x:c>
      <x:c r="G71" s="7" t="str">
        <x:f>IF('Transfers'!A71="","",'Transfers'!F71)</x:f>
      </x:c>
      <x:c r="H71" s="5" t="str">
        <x:f>IF('Transfers'!A71="","",'Transfers'!G71)</x:f>
      </x:c>
      <x:c r="I71" s="5" t="str">
        <x:f>IF('Transfers'!A71="","",'Transfers'!O71)</x:f>
      </x:c>
      <x:c r="J71" s="5" t="str">
        <x:f>IF('Transfers'!A71="","",'Transfers'!I71)</x:f>
      </x:c>
      <x:c r="K71" s="5" t="str">
        <x:f>IF('Transfers'!A71="","",'Transfers'!H71)</x:f>
      </x:c>
      <x:c r="L71" s="5" t="str">
        <x:f>IF('Transfers'!A71="","",'Transfers'!X71)</x:f>
      </x:c>
    </x:row>
    <x:row r="72" ht="24" customHeight="1">
      <x:c r="A72" s="5" t="str">
        <x:f>IF('Transfers'!A72="","","ethereum:"&amp;'Transfers'!M72)</x:f>
      </x:c>
      <x:c r="B72" s="5" t="str">
        <x:f>IF('Transfers'!A72="","","ethereum:"&amp;'Transfers'!N72)</x:f>
      </x:c>
      <x:c r="C72" s="5" t="str">
        <x:f>IF('Transfers'!A72="","","Directed")</x:f>
      </x:c>
      <x:c r="D72" s="5" t="str">
        <x:f>IF('Transfers'!A72="","",'Transfers'!A72)</x:f>
      </x:c>
      <x:c r="E72" s="5" t="str">
        <x:f>IF('Transfers'!A72="","",'Transfers'!G72&amp;" "&amp;'Transfers'!C72)</x:f>
      </x:c>
      <x:c r="F72" s="5" t="str">
        <x:f>IF('Transfers'!A72="","",'Transfers'!C72)</x:f>
      </x:c>
      <x:c r="G72" s="7" t="str">
        <x:f>IF('Transfers'!A72="","",'Transfers'!F72)</x:f>
      </x:c>
      <x:c r="H72" s="5" t="str">
        <x:f>IF('Transfers'!A72="","",'Transfers'!G72)</x:f>
      </x:c>
      <x:c r="I72" s="5" t="str">
        <x:f>IF('Transfers'!A72="","",'Transfers'!O72)</x:f>
      </x:c>
      <x:c r="J72" s="5" t="str">
        <x:f>IF('Transfers'!A72="","",'Transfers'!I72)</x:f>
      </x:c>
      <x:c r="K72" s="5" t="str">
        <x:f>IF('Transfers'!A72="","",'Transfers'!H72)</x:f>
      </x:c>
      <x:c r="L72" s="5" t="str">
        <x:f>IF('Transfers'!A72="","",'Transfers'!X72)</x:f>
      </x:c>
    </x:row>
    <x:row r="73" ht="24" customHeight="1">
      <x:c r="A73" s="5" t="str">
        <x:f>IF('Transfers'!A73="","","ethereum:"&amp;'Transfers'!M73)</x:f>
      </x:c>
      <x:c r="B73" s="5" t="str">
        <x:f>IF('Transfers'!A73="","","ethereum:"&amp;'Transfers'!N73)</x:f>
      </x:c>
      <x:c r="C73" s="5" t="str">
        <x:f>IF('Transfers'!A73="","","Directed")</x:f>
      </x:c>
      <x:c r="D73" s="5" t="str">
        <x:f>IF('Transfers'!A73="","",'Transfers'!A73)</x:f>
      </x:c>
      <x:c r="E73" s="5" t="str">
        <x:f>IF('Transfers'!A73="","",'Transfers'!G73&amp;" "&amp;'Transfers'!C73)</x:f>
      </x:c>
      <x:c r="F73" s="5" t="str">
        <x:f>IF('Transfers'!A73="","",'Transfers'!C73)</x:f>
      </x:c>
      <x:c r="G73" s="7" t="str">
        <x:f>IF('Transfers'!A73="","",'Transfers'!F73)</x:f>
      </x:c>
      <x:c r="H73" s="5" t="str">
        <x:f>IF('Transfers'!A73="","",'Transfers'!G73)</x:f>
      </x:c>
      <x:c r="I73" s="5" t="str">
        <x:f>IF('Transfers'!A73="","",'Transfers'!O73)</x:f>
      </x:c>
      <x:c r="J73" s="5" t="str">
        <x:f>IF('Transfers'!A73="","",'Transfers'!I73)</x:f>
      </x:c>
      <x:c r="K73" s="5" t="str">
        <x:f>IF('Transfers'!A73="","",'Transfers'!H73)</x:f>
      </x:c>
      <x:c r="L73" s="5" t="str">
        <x:f>IF('Transfers'!A73="","",'Transfers'!X73)</x:f>
      </x:c>
    </x:row>
    <x:row r="74" ht="24" customHeight="1">
      <x:c r="A74" s="5" t="str">
        <x:f>IF('Transfers'!A74="","","ethereum:"&amp;'Transfers'!M74)</x:f>
      </x:c>
      <x:c r="B74" s="5" t="str">
        <x:f>IF('Transfers'!A74="","","ethereum:"&amp;'Transfers'!N74)</x:f>
      </x:c>
      <x:c r="C74" s="5" t="str">
        <x:f>IF('Transfers'!A74="","","Directed")</x:f>
      </x:c>
      <x:c r="D74" s="5" t="str">
        <x:f>IF('Transfers'!A74="","",'Transfers'!A74)</x:f>
      </x:c>
      <x:c r="E74" s="5" t="str">
        <x:f>IF('Transfers'!A74="","",'Transfers'!G74&amp;" "&amp;'Transfers'!C74)</x:f>
      </x:c>
      <x:c r="F74" s="5" t="str">
        <x:f>IF('Transfers'!A74="","",'Transfers'!C74)</x:f>
      </x:c>
      <x:c r="G74" s="7" t="str">
        <x:f>IF('Transfers'!A74="","",'Transfers'!F74)</x:f>
      </x:c>
      <x:c r="H74" s="5" t="str">
        <x:f>IF('Transfers'!A74="","",'Transfers'!G74)</x:f>
      </x:c>
      <x:c r="I74" s="5" t="str">
        <x:f>IF('Transfers'!A74="","",'Transfers'!O74)</x:f>
      </x:c>
      <x:c r="J74" s="5" t="str">
        <x:f>IF('Transfers'!A74="","",'Transfers'!I74)</x:f>
      </x:c>
      <x:c r="K74" s="5" t="str">
        <x:f>IF('Transfers'!A74="","",'Transfers'!H74)</x:f>
      </x:c>
      <x:c r="L74" s="5" t="str">
        <x:f>IF('Transfers'!A74="","",'Transfers'!X74)</x:f>
      </x:c>
    </x:row>
    <x:row r="75" ht="24" customHeight="1">
      <x:c r="A75" s="5" t="str">
        <x:f>IF('Transfers'!A75="","","ethereum:"&amp;'Transfers'!M75)</x:f>
      </x:c>
      <x:c r="B75" s="5" t="str">
        <x:f>IF('Transfers'!A75="","","ethereum:"&amp;'Transfers'!N75)</x:f>
      </x:c>
      <x:c r="C75" s="5" t="str">
        <x:f>IF('Transfers'!A75="","","Directed")</x:f>
      </x:c>
      <x:c r="D75" s="5" t="str">
        <x:f>IF('Transfers'!A75="","",'Transfers'!A75)</x:f>
      </x:c>
      <x:c r="E75" s="5" t="str">
        <x:f>IF('Transfers'!A75="","",'Transfers'!G75&amp;" "&amp;'Transfers'!C75)</x:f>
      </x:c>
      <x:c r="F75" s="5" t="str">
        <x:f>IF('Transfers'!A75="","",'Transfers'!C75)</x:f>
      </x:c>
      <x:c r="G75" s="7" t="str">
        <x:f>IF('Transfers'!A75="","",'Transfers'!F75)</x:f>
      </x:c>
      <x:c r="H75" s="5" t="str">
        <x:f>IF('Transfers'!A75="","",'Transfers'!G75)</x:f>
      </x:c>
      <x:c r="I75" s="5" t="str">
        <x:f>IF('Transfers'!A75="","",'Transfers'!O75)</x:f>
      </x:c>
      <x:c r="J75" s="5" t="str">
        <x:f>IF('Transfers'!A75="","",'Transfers'!I75)</x:f>
      </x:c>
      <x:c r="K75" s="5" t="str">
        <x:f>IF('Transfers'!A75="","",'Transfers'!H75)</x:f>
      </x:c>
      <x:c r="L75" s="5" t="str">
        <x:f>IF('Transfers'!A75="","",'Transfers'!X75)</x:f>
      </x:c>
    </x:row>
    <x:row r="76" ht="24" customHeight="1">
      <x:c r="A76" s="5" t="str">
        <x:f>IF('Transfers'!A76="","","ethereum:"&amp;'Transfers'!M76)</x:f>
      </x:c>
      <x:c r="B76" s="5" t="str">
        <x:f>IF('Transfers'!A76="","","ethereum:"&amp;'Transfers'!N76)</x:f>
      </x:c>
      <x:c r="C76" s="5" t="str">
        <x:f>IF('Transfers'!A76="","","Directed")</x:f>
      </x:c>
      <x:c r="D76" s="5" t="str">
        <x:f>IF('Transfers'!A76="","",'Transfers'!A76)</x:f>
      </x:c>
      <x:c r="E76" s="5" t="str">
        <x:f>IF('Transfers'!A76="","",'Transfers'!G76&amp;" "&amp;'Transfers'!C76)</x:f>
      </x:c>
      <x:c r="F76" s="5" t="str">
        <x:f>IF('Transfers'!A76="","",'Transfers'!C76)</x:f>
      </x:c>
      <x:c r="G76" s="7" t="str">
        <x:f>IF('Transfers'!A76="","",'Transfers'!F76)</x:f>
      </x:c>
      <x:c r="H76" s="5" t="str">
        <x:f>IF('Transfers'!A76="","",'Transfers'!G76)</x:f>
      </x:c>
      <x:c r="I76" s="5" t="str">
        <x:f>IF('Transfers'!A76="","",'Transfers'!O76)</x:f>
      </x:c>
      <x:c r="J76" s="5" t="str">
        <x:f>IF('Transfers'!A76="","",'Transfers'!I76)</x:f>
      </x:c>
      <x:c r="K76" s="5" t="str">
        <x:f>IF('Transfers'!A76="","",'Transfers'!H76)</x:f>
      </x:c>
      <x:c r="L76" s="5" t="str">
        <x:f>IF('Transfers'!A76="","",'Transfers'!X76)</x:f>
      </x:c>
    </x:row>
    <x:row r="77" ht="24" customHeight="1">
      <x:c r="A77" s="5" t="str">
        <x:f>IF('Transfers'!A77="","","ethereum:"&amp;'Transfers'!M77)</x:f>
      </x:c>
      <x:c r="B77" s="5" t="str">
        <x:f>IF('Transfers'!A77="","","ethereum:"&amp;'Transfers'!N77)</x:f>
      </x:c>
      <x:c r="C77" s="5" t="str">
        <x:f>IF('Transfers'!A77="","","Directed")</x:f>
      </x:c>
      <x:c r="D77" s="5" t="str">
        <x:f>IF('Transfers'!A77="","",'Transfers'!A77)</x:f>
      </x:c>
      <x:c r="E77" s="5" t="str">
        <x:f>IF('Transfers'!A77="","",'Transfers'!G77&amp;" "&amp;'Transfers'!C77)</x:f>
      </x:c>
      <x:c r="F77" s="5" t="str">
        <x:f>IF('Transfers'!A77="","",'Transfers'!C77)</x:f>
      </x:c>
      <x:c r="G77" s="7" t="str">
        <x:f>IF('Transfers'!A77="","",'Transfers'!F77)</x:f>
      </x:c>
      <x:c r="H77" s="5" t="str">
        <x:f>IF('Transfers'!A77="","",'Transfers'!G77)</x:f>
      </x:c>
      <x:c r="I77" s="5" t="str">
        <x:f>IF('Transfers'!A77="","",'Transfers'!O77)</x:f>
      </x:c>
      <x:c r="J77" s="5" t="str">
        <x:f>IF('Transfers'!A77="","",'Transfers'!I77)</x:f>
      </x:c>
      <x:c r="K77" s="5" t="str">
        <x:f>IF('Transfers'!A77="","",'Transfers'!H77)</x:f>
      </x:c>
      <x:c r="L77" s="5" t="str">
        <x:f>IF('Transfers'!A77="","",'Transfers'!X77)</x:f>
      </x:c>
    </x:row>
    <x:row r="78" ht="24" customHeight="1">
      <x:c r="A78" s="5" t="str">
        <x:f>IF('Transfers'!A78="","","ethereum:"&amp;'Transfers'!M78)</x:f>
      </x:c>
      <x:c r="B78" s="5" t="str">
        <x:f>IF('Transfers'!A78="","","ethereum:"&amp;'Transfers'!N78)</x:f>
      </x:c>
      <x:c r="C78" s="5" t="str">
        <x:f>IF('Transfers'!A78="","","Directed")</x:f>
      </x:c>
      <x:c r="D78" s="5" t="str">
        <x:f>IF('Transfers'!A78="","",'Transfers'!A78)</x:f>
      </x:c>
      <x:c r="E78" s="5" t="str">
        <x:f>IF('Transfers'!A78="","",'Transfers'!G78&amp;" "&amp;'Transfers'!C78)</x:f>
      </x:c>
      <x:c r="F78" s="5" t="str">
        <x:f>IF('Transfers'!A78="","",'Transfers'!C78)</x:f>
      </x:c>
      <x:c r="G78" s="7" t="str">
        <x:f>IF('Transfers'!A78="","",'Transfers'!F78)</x:f>
      </x:c>
      <x:c r="H78" s="5" t="str">
        <x:f>IF('Transfers'!A78="","",'Transfers'!G78)</x:f>
      </x:c>
      <x:c r="I78" s="5" t="str">
        <x:f>IF('Transfers'!A78="","",'Transfers'!O78)</x:f>
      </x:c>
      <x:c r="J78" s="5" t="str">
        <x:f>IF('Transfers'!A78="","",'Transfers'!I78)</x:f>
      </x:c>
      <x:c r="K78" s="5" t="str">
        <x:f>IF('Transfers'!A78="","",'Transfers'!H78)</x:f>
      </x:c>
      <x:c r="L78" s="5" t="str">
        <x:f>IF('Transfers'!A78="","",'Transfers'!X78)</x:f>
      </x:c>
    </x:row>
    <x:row r="79" ht="24" customHeight="1">
      <x:c r="A79" s="5" t="str">
        <x:f>IF('Transfers'!A79="","","ethereum:"&amp;'Transfers'!M79)</x:f>
      </x:c>
      <x:c r="B79" s="5" t="str">
        <x:f>IF('Transfers'!A79="","","ethereum:"&amp;'Transfers'!N79)</x:f>
      </x:c>
      <x:c r="C79" s="5" t="str">
        <x:f>IF('Transfers'!A79="","","Directed")</x:f>
      </x:c>
      <x:c r="D79" s="5" t="str">
        <x:f>IF('Transfers'!A79="","",'Transfers'!A79)</x:f>
      </x:c>
      <x:c r="E79" s="5" t="str">
        <x:f>IF('Transfers'!A79="","",'Transfers'!G79&amp;" "&amp;'Transfers'!C79)</x:f>
      </x:c>
      <x:c r="F79" s="5" t="str">
        <x:f>IF('Transfers'!A79="","",'Transfers'!C79)</x:f>
      </x:c>
      <x:c r="G79" s="7" t="str">
        <x:f>IF('Transfers'!A79="","",'Transfers'!F79)</x:f>
      </x:c>
      <x:c r="H79" s="5" t="str">
        <x:f>IF('Transfers'!A79="","",'Transfers'!G79)</x:f>
      </x:c>
      <x:c r="I79" s="5" t="str">
        <x:f>IF('Transfers'!A79="","",'Transfers'!O79)</x:f>
      </x:c>
      <x:c r="J79" s="5" t="str">
        <x:f>IF('Transfers'!A79="","",'Transfers'!I79)</x:f>
      </x:c>
      <x:c r="K79" s="5" t="str">
        <x:f>IF('Transfers'!A79="","",'Transfers'!H79)</x:f>
      </x:c>
      <x:c r="L79" s="5" t="str">
        <x:f>IF('Transfers'!A79="","",'Transfers'!X79)</x:f>
      </x:c>
    </x:row>
    <x:row r="80" ht="24" customHeight="1">
      <x:c r="A80" s="5" t="str">
        <x:f>IF('Transfers'!A80="","","ethereum:"&amp;'Transfers'!M80)</x:f>
      </x:c>
      <x:c r="B80" s="5" t="str">
        <x:f>IF('Transfers'!A80="","","ethereum:"&amp;'Transfers'!N80)</x:f>
      </x:c>
      <x:c r="C80" s="5" t="str">
        <x:f>IF('Transfers'!A80="","","Directed")</x:f>
      </x:c>
      <x:c r="D80" s="5" t="str">
        <x:f>IF('Transfers'!A80="","",'Transfers'!A80)</x:f>
      </x:c>
      <x:c r="E80" s="5" t="str">
        <x:f>IF('Transfers'!A80="","",'Transfers'!G80&amp;" "&amp;'Transfers'!C80)</x:f>
      </x:c>
      <x:c r="F80" s="5" t="str">
        <x:f>IF('Transfers'!A80="","",'Transfers'!C80)</x:f>
      </x:c>
      <x:c r="G80" s="7" t="str">
        <x:f>IF('Transfers'!A80="","",'Transfers'!F80)</x:f>
      </x:c>
      <x:c r="H80" s="5" t="str">
        <x:f>IF('Transfers'!A80="","",'Transfers'!G80)</x:f>
      </x:c>
      <x:c r="I80" s="5" t="str">
        <x:f>IF('Transfers'!A80="","",'Transfers'!O80)</x:f>
      </x:c>
      <x:c r="J80" s="5" t="str">
        <x:f>IF('Transfers'!A80="","",'Transfers'!I80)</x:f>
      </x:c>
      <x:c r="K80" s="5" t="str">
        <x:f>IF('Transfers'!A80="","",'Transfers'!H80)</x:f>
      </x:c>
      <x:c r="L80" s="5" t="str">
        <x:f>IF('Transfers'!A80="","",'Transfers'!X80)</x:f>
      </x:c>
    </x:row>
    <x:row r="81" ht="24" customHeight="1">
      <x:c r="A81" s="5" t="str">
        <x:f>IF('Transfers'!A81="","","ethereum:"&amp;'Transfers'!M81)</x:f>
      </x:c>
      <x:c r="B81" s="5" t="str">
        <x:f>IF('Transfers'!A81="","","ethereum:"&amp;'Transfers'!N81)</x:f>
      </x:c>
      <x:c r="C81" s="5" t="str">
        <x:f>IF('Transfers'!A81="","","Directed")</x:f>
      </x:c>
      <x:c r="D81" s="5" t="str">
        <x:f>IF('Transfers'!A81="","",'Transfers'!A81)</x:f>
      </x:c>
      <x:c r="E81" s="5" t="str">
        <x:f>IF('Transfers'!A81="","",'Transfers'!G81&amp;" "&amp;'Transfers'!C81)</x:f>
      </x:c>
      <x:c r="F81" s="5" t="str">
        <x:f>IF('Transfers'!A81="","",'Transfers'!C81)</x:f>
      </x:c>
      <x:c r="G81" s="7" t="str">
        <x:f>IF('Transfers'!A81="","",'Transfers'!F81)</x:f>
      </x:c>
      <x:c r="H81" s="5" t="str">
        <x:f>IF('Transfers'!A81="","",'Transfers'!G81)</x:f>
      </x:c>
      <x:c r="I81" s="5" t="str">
        <x:f>IF('Transfers'!A81="","",'Transfers'!O81)</x:f>
      </x:c>
      <x:c r="J81" s="5" t="str">
        <x:f>IF('Transfers'!A81="","",'Transfers'!I81)</x:f>
      </x:c>
      <x:c r="K81" s="5" t="str">
        <x:f>IF('Transfers'!A81="","",'Transfers'!H81)</x:f>
      </x:c>
      <x:c r="L81" s="5" t="str">
        <x:f>IF('Transfers'!A81="","",'Transfers'!X81)</x:f>
      </x:c>
    </x:row>
    <x:row r="82" ht="24" customHeight="1">
      <x:c r="A82" s="5" t="str">
        <x:f>IF('Transfers'!A82="","","ethereum:"&amp;'Transfers'!M82)</x:f>
      </x:c>
      <x:c r="B82" s="5" t="str">
        <x:f>IF('Transfers'!A82="","","ethereum:"&amp;'Transfers'!N82)</x:f>
      </x:c>
      <x:c r="C82" s="5" t="str">
        <x:f>IF('Transfers'!A82="","","Directed")</x:f>
      </x:c>
      <x:c r="D82" s="5" t="str">
        <x:f>IF('Transfers'!A82="","",'Transfers'!A82)</x:f>
      </x:c>
      <x:c r="E82" s="5" t="str">
        <x:f>IF('Transfers'!A82="","",'Transfers'!G82&amp;" "&amp;'Transfers'!C82)</x:f>
      </x:c>
      <x:c r="F82" s="5" t="str">
        <x:f>IF('Transfers'!A82="","",'Transfers'!C82)</x:f>
      </x:c>
      <x:c r="G82" s="7" t="str">
        <x:f>IF('Transfers'!A82="","",'Transfers'!F82)</x:f>
      </x:c>
      <x:c r="H82" s="5" t="str">
        <x:f>IF('Transfers'!A82="","",'Transfers'!G82)</x:f>
      </x:c>
      <x:c r="I82" s="5" t="str">
        <x:f>IF('Transfers'!A82="","",'Transfers'!O82)</x:f>
      </x:c>
      <x:c r="J82" s="5" t="str">
        <x:f>IF('Transfers'!A82="","",'Transfers'!I82)</x:f>
      </x:c>
      <x:c r="K82" s="5" t="str">
        <x:f>IF('Transfers'!A82="","",'Transfers'!H82)</x:f>
      </x:c>
      <x:c r="L82" s="5" t="str">
        <x:f>IF('Transfers'!A82="","",'Transfers'!X82)</x:f>
      </x:c>
    </x:row>
    <x:row r="83" ht="24" customHeight="1">
      <x:c r="A83" s="5" t="str">
        <x:f>IF('Transfers'!A83="","","ethereum:"&amp;'Transfers'!M83)</x:f>
      </x:c>
      <x:c r="B83" s="5" t="str">
        <x:f>IF('Transfers'!A83="","","ethereum:"&amp;'Transfers'!N83)</x:f>
      </x:c>
      <x:c r="C83" s="5" t="str">
        <x:f>IF('Transfers'!A83="","","Directed")</x:f>
      </x:c>
      <x:c r="D83" s="5" t="str">
        <x:f>IF('Transfers'!A83="","",'Transfers'!A83)</x:f>
      </x:c>
      <x:c r="E83" s="5" t="str">
        <x:f>IF('Transfers'!A83="","",'Transfers'!G83&amp;" "&amp;'Transfers'!C83)</x:f>
      </x:c>
      <x:c r="F83" s="5" t="str">
        <x:f>IF('Transfers'!A83="","",'Transfers'!C83)</x:f>
      </x:c>
      <x:c r="G83" s="7" t="str">
        <x:f>IF('Transfers'!A83="","",'Transfers'!F83)</x:f>
      </x:c>
      <x:c r="H83" s="5" t="str">
        <x:f>IF('Transfers'!A83="","",'Transfers'!G83)</x:f>
      </x:c>
      <x:c r="I83" s="5" t="str">
        <x:f>IF('Transfers'!A83="","",'Transfers'!O83)</x:f>
      </x:c>
      <x:c r="J83" s="5" t="str">
        <x:f>IF('Transfers'!A83="","",'Transfers'!I83)</x:f>
      </x:c>
      <x:c r="K83" s="5" t="str">
        <x:f>IF('Transfers'!A83="","",'Transfers'!H83)</x:f>
      </x:c>
      <x:c r="L83" s="5" t="str">
        <x:f>IF('Transfers'!A83="","",'Transfers'!X83)</x:f>
      </x:c>
    </x:row>
    <x:row r="84" ht="24" customHeight="1">
      <x:c r="A84" s="5" t="str">
        <x:f>IF('Transfers'!A84="","","ethereum:"&amp;'Transfers'!M84)</x:f>
      </x:c>
      <x:c r="B84" s="5" t="str">
        <x:f>IF('Transfers'!A84="","","ethereum:"&amp;'Transfers'!N84)</x:f>
      </x:c>
      <x:c r="C84" s="5" t="str">
        <x:f>IF('Transfers'!A84="","","Directed")</x:f>
      </x:c>
      <x:c r="D84" s="5" t="str">
        <x:f>IF('Transfers'!A84="","",'Transfers'!A84)</x:f>
      </x:c>
      <x:c r="E84" s="5" t="str">
        <x:f>IF('Transfers'!A84="","",'Transfers'!G84&amp;" "&amp;'Transfers'!C84)</x:f>
      </x:c>
      <x:c r="F84" s="5" t="str">
        <x:f>IF('Transfers'!A84="","",'Transfers'!C84)</x:f>
      </x:c>
      <x:c r="G84" s="7" t="str">
        <x:f>IF('Transfers'!A84="","",'Transfers'!F84)</x:f>
      </x:c>
      <x:c r="H84" s="5" t="str">
        <x:f>IF('Transfers'!A84="","",'Transfers'!G84)</x:f>
      </x:c>
      <x:c r="I84" s="5" t="str">
        <x:f>IF('Transfers'!A84="","",'Transfers'!O84)</x:f>
      </x:c>
      <x:c r="J84" s="5" t="str">
        <x:f>IF('Transfers'!A84="","",'Transfers'!I84)</x:f>
      </x:c>
      <x:c r="K84" s="5" t="str">
        <x:f>IF('Transfers'!A84="","",'Transfers'!H84)</x:f>
      </x:c>
      <x:c r="L84" s="5" t="str">
        <x:f>IF('Transfers'!A84="","",'Transfers'!X84)</x:f>
      </x:c>
    </x:row>
    <x:row r="85" ht="24" customHeight="1">
      <x:c r="A85" s="5" t="str">
        <x:f>IF('Transfers'!A85="","","ethereum:"&amp;'Transfers'!M85)</x:f>
      </x:c>
      <x:c r="B85" s="5" t="str">
        <x:f>IF('Transfers'!A85="","","ethereum:"&amp;'Transfers'!N85)</x:f>
      </x:c>
      <x:c r="C85" s="5" t="str">
        <x:f>IF('Transfers'!A85="","","Directed")</x:f>
      </x:c>
      <x:c r="D85" s="5" t="str">
        <x:f>IF('Transfers'!A85="","",'Transfers'!A85)</x:f>
      </x:c>
      <x:c r="E85" s="5" t="str">
        <x:f>IF('Transfers'!A85="","",'Transfers'!G85&amp;" "&amp;'Transfers'!C85)</x:f>
      </x:c>
      <x:c r="F85" s="5" t="str">
        <x:f>IF('Transfers'!A85="","",'Transfers'!C85)</x:f>
      </x:c>
      <x:c r="G85" s="7" t="str">
        <x:f>IF('Transfers'!A85="","",'Transfers'!F85)</x:f>
      </x:c>
      <x:c r="H85" s="5" t="str">
        <x:f>IF('Transfers'!A85="","",'Transfers'!G85)</x:f>
      </x:c>
      <x:c r="I85" s="5" t="str">
        <x:f>IF('Transfers'!A85="","",'Transfers'!O85)</x:f>
      </x:c>
      <x:c r="J85" s="5" t="str">
        <x:f>IF('Transfers'!A85="","",'Transfers'!I85)</x:f>
      </x:c>
      <x:c r="K85" s="5" t="str">
        <x:f>IF('Transfers'!A85="","",'Transfers'!H85)</x:f>
      </x:c>
      <x:c r="L85" s="5" t="str">
        <x:f>IF('Transfers'!A85="","",'Transfers'!X85)</x:f>
      </x:c>
    </x:row>
    <x:row r="86" ht="24" customHeight="1">
      <x:c r="A86" s="5" t="str">
        <x:f>IF('Transfers'!A86="","","ethereum:"&amp;'Transfers'!M86)</x:f>
      </x:c>
      <x:c r="B86" s="5" t="str">
        <x:f>IF('Transfers'!A86="","","ethereum:"&amp;'Transfers'!N86)</x:f>
      </x:c>
      <x:c r="C86" s="5" t="str">
        <x:f>IF('Transfers'!A86="","","Directed")</x:f>
      </x:c>
      <x:c r="D86" s="5" t="str">
        <x:f>IF('Transfers'!A86="","",'Transfers'!A86)</x:f>
      </x:c>
      <x:c r="E86" s="5" t="str">
        <x:f>IF('Transfers'!A86="","",'Transfers'!G86&amp;" "&amp;'Transfers'!C86)</x:f>
      </x:c>
      <x:c r="F86" s="5" t="str">
        <x:f>IF('Transfers'!A86="","",'Transfers'!C86)</x:f>
      </x:c>
      <x:c r="G86" s="7" t="str">
        <x:f>IF('Transfers'!A86="","",'Transfers'!F86)</x:f>
      </x:c>
      <x:c r="H86" s="5" t="str">
        <x:f>IF('Transfers'!A86="","",'Transfers'!G86)</x:f>
      </x:c>
      <x:c r="I86" s="5" t="str">
        <x:f>IF('Transfers'!A86="","",'Transfers'!O86)</x:f>
      </x:c>
      <x:c r="J86" s="5" t="str">
        <x:f>IF('Transfers'!A86="","",'Transfers'!I86)</x:f>
      </x:c>
      <x:c r="K86" s="5" t="str">
        <x:f>IF('Transfers'!A86="","",'Transfers'!H86)</x:f>
      </x:c>
      <x:c r="L86" s="5" t="str">
        <x:f>IF('Transfers'!A86="","",'Transfers'!X86)</x:f>
      </x:c>
    </x:row>
    <x:row r="87" ht="24" customHeight="1">
      <x:c r="A87" s="5" t="str">
        <x:f>IF('Transfers'!A87="","","ethereum:"&amp;'Transfers'!M87)</x:f>
      </x:c>
      <x:c r="B87" s="5" t="str">
        <x:f>IF('Transfers'!A87="","","ethereum:"&amp;'Transfers'!N87)</x:f>
      </x:c>
      <x:c r="C87" s="5" t="str">
        <x:f>IF('Transfers'!A87="","","Directed")</x:f>
      </x:c>
      <x:c r="D87" s="5" t="str">
        <x:f>IF('Transfers'!A87="","",'Transfers'!A87)</x:f>
      </x:c>
      <x:c r="E87" s="5" t="str">
        <x:f>IF('Transfers'!A87="","",'Transfers'!G87&amp;" "&amp;'Transfers'!C87)</x:f>
      </x:c>
      <x:c r="F87" s="5" t="str">
        <x:f>IF('Transfers'!A87="","",'Transfers'!C87)</x:f>
      </x:c>
      <x:c r="G87" s="7" t="str">
        <x:f>IF('Transfers'!A87="","",'Transfers'!F87)</x:f>
      </x:c>
      <x:c r="H87" s="5" t="str">
        <x:f>IF('Transfers'!A87="","",'Transfers'!G87)</x:f>
      </x:c>
      <x:c r="I87" s="5" t="str">
        <x:f>IF('Transfers'!A87="","",'Transfers'!O87)</x:f>
      </x:c>
      <x:c r="J87" s="5" t="str">
        <x:f>IF('Transfers'!A87="","",'Transfers'!I87)</x:f>
      </x:c>
      <x:c r="K87" s="5" t="str">
        <x:f>IF('Transfers'!A87="","",'Transfers'!H87)</x:f>
      </x:c>
      <x:c r="L87" s="5" t="str">
        <x:f>IF('Transfers'!A87="","",'Transfers'!X87)</x:f>
      </x:c>
    </x:row>
    <x:row r="88" ht="24" customHeight="1">
      <x:c r="A88" s="5" t="str">
        <x:f>IF('Transfers'!A88="","","ethereum:"&amp;'Transfers'!M88)</x:f>
      </x:c>
      <x:c r="B88" s="5" t="str">
        <x:f>IF('Transfers'!A88="","","ethereum:"&amp;'Transfers'!N88)</x:f>
      </x:c>
      <x:c r="C88" s="5" t="str">
        <x:f>IF('Transfers'!A88="","","Directed")</x:f>
      </x:c>
      <x:c r="D88" s="5" t="str">
        <x:f>IF('Transfers'!A88="","",'Transfers'!A88)</x:f>
      </x:c>
      <x:c r="E88" s="5" t="str">
        <x:f>IF('Transfers'!A88="","",'Transfers'!G88&amp;" "&amp;'Transfers'!C88)</x:f>
      </x:c>
      <x:c r="F88" s="5" t="str">
        <x:f>IF('Transfers'!A88="","",'Transfers'!C88)</x:f>
      </x:c>
      <x:c r="G88" s="7" t="str">
        <x:f>IF('Transfers'!A88="","",'Transfers'!F88)</x:f>
      </x:c>
      <x:c r="H88" s="5" t="str">
        <x:f>IF('Transfers'!A88="","",'Transfers'!G88)</x:f>
      </x:c>
      <x:c r="I88" s="5" t="str">
        <x:f>IF('Transfers'!A88="","",'Transfers'!O88)</x:f>
      </x:c>
      <x:c r="J88" s="5" t="str">
        <x:f>IF('Transfers'!A88="","",'Transfers'!I88)</x:f>
      </x:c>
      <x:c r="K88" s="5" t="str">
        <x:f>IF('Transfers'!A88="","",'Transfers'!H88)</x:f>
      </x:c>
      <x:c r="L88" s="5" t="str">
        <x:f>IF('Transfers'!A88="","",'Transfers'!X88)</x:f>
      </x:c>
    </x:row>
    <x:row r="89" ht="24" customHeight="1">
      <x:c r="A89" s="5" t="str">
        <x:f>IF('Transfers'!A89="","","ethereum:"&amp;'Transfers'!M89)</x:f>
      </x:c>
      <x:c r="B89" s="5" t="str">
        <x:f>IF('Transfers'!A89="","","ethereum:"&amp;'Transfers'!N89)</x:f>
      </x:c>
      <x:c r="C89" s="5" t="str">
        <x:f>IF('Transfers'!A89="","","Directed")</x:f>
      </x:c>
      <x:c r="D89" s="5" t="str">
        <x:f>IF('Transfers'!A89="","",'Transfers'!A89)</x:f>
      </x:c>
      <x:c r="E89" s="5" t="str">
        <x:f>IF('Transfers'!A89="","",'Transfers'!G89&amp;" "&amp;'Transfers'!C89)</x:f>
      </x:c>
      <x:c r="F89" s="5" t="str">
        <x:f>IF('Transfers'!A89="","",'Transfers'!C89)</x:f>
      </x:c>
      <x:c r="G89" s="7" t="str">
        <x:f>IF('Transfers'!A89="","",'Transfers'!F89)</x:f>
      </x:c>
      <x:c r="H89" s="5" t="str">
        <x:f>IF('Transfers'!A89="","",'Transfers'!G89)</x:f>
      </x:c>
      <x:c r="I89" s="5" t="str">
        <x:f>IF('Transfers'!A89="","",'Transfers'!O89)</x:f>
      </x:c>
      <x:c r="J89" s="5" t="str">
        <x:f>IF('Transfers'!A89="","",'Transfers'!I89)</x:f>
      </x:c>
      <x:c r="K89" s="5" t="str">
        <x:f>IF('Transfers'!A89="","",'Transfers'!H89)</x:f>
      </x:c>
      <x:c r="L89" s="5" t="str">
        <x:f>IF('Transfers'!A89="","",'Transfers'!X89)</x:f>
      </x:c>
    </x:row>
    <x:row r="90" ht="24" customHeight="1">
      <x:c r="A90" s="5" t="str">
        <x:f>IF('Transfers'!A90="","","ethereum:"&amp;'Transfers'!M90)</x:f>
      </x:c>
      <x:c r="B90" s="5" t="str">
        <x:f>IF('Transfers'!A90="","","ethereum:"&amp;'Transfers'!N90)</x:f>
      </x:c>
      <x:c r="C90" s="5" t="str">
        <x:f>IF('Transfers'!A90="","","Directed")</x:f>
      </x:c>
      <x:c r="D90" s="5" t="str">
        <x:f>IF('Transfers'!A90="","",'Transfers'!A90)</x:f>
      </x:c>
      <x:c r="E90" s="5" t="str">
        <x:f>IF('Transfers'!A90="","",'Transfers'!G90&amp;" "&amp;'Transfers'!C90)</x:f>
      </x:c>
      <x:c r="F90" s="5" t="str">
        <x:f>IF('Transfers'!A90="","",'Transfers'!C90)</x:f>
      </x:c>
      <x:c r="G90" s="7" t="str">
        <x:f>IF('Transfers'!A90="","",'Transfers'!F90)</x:f>
      </x:c>
      <x:c r="H90" s="5" t="str">
        <x:f>IF('Transfers'!A90="","",'Transfers'!G90)</x:f>
      </x:c>
      <x:c r="I90" s="5" t="str">
        <x:f>IF('Transfers'!A90="","",'Transfers'!O90)</x:f>
      </x:c>
      <x:c r="J90" s="5" t="str">
        <x:f>IF('Transfers'!A90="","",'Transfers'!I90)</x:f>
      </x:c>
      <x:c r="K90" s="5" t="str">
        <x:f>IF('Transfers'!A90="","",'Transfers'!H90)</x:f>
      </x:c>
      <x:c r="L90" s="5" t="str">
        <x:f>IF('Transfers'!A90="","",'Transfers'!X90)</x:f>
      </x:c>
    </x:row>
    <x:row r="91" ht="24" customHeight="1">
      <x:c r="A91" s="5" t="str">
        <x:f>IF('Transfers'!A91="","","ethereum:"&amp;'Transfers'!M91)</x:f>
      </x:c>
      <x:c r="B91" s="5" t="str">
        <x:f>IF('Transfers'!A91="","","ethereum:"&amp;'Transfers'!N91)</x:f>
      </x:c>
      <x:c r="C91" s="5" t="str">
        <x:f>IF('Transfers'!A91="","","Directed")</x:f>
      </x:c>
      <x:c r="D91" s="5" t="str">
        <x:f>IF('Transfers'!A91="","",'Transfers'!A91)</x:f>
      </x:c>
      <x:c r="E91" s="5" t="str">
        <x:f>IF('Transfers'!A91="","",'Transfers'!G91&amp;" "&amp;'Transfers'!C91)</x:f>
      </x:c>
      <x:c r="F91" s="5" t="str">
        <x:f>IF('Transfers'!A91="","",'Transfers'!C91)</x:f>
      </x:c>
      <x:c r="G91" s="7" t="str">
        <x:f>IF('Transfers'!A91="","",'Transfers'!F91)</x:f>
      </x:c>
      <x:c r="H91" s="5" t="str">
        <x:f>IF('Transfers'!A91="","",'Transfers'!G91)</x:f>
      </x:c>
      <x:c r="I91" s="5" t="str">
        <x:f>IF('Transfers'!A91="","",'Transfers'!O91)</x:f>
      </x:c>
      <x:c r="J91" s="5" t="str">
        <x:f>IF('Transfers'!A91="","",'Transfers'!I91)</x:f>
      </x:c>
      <x:c r="K91" s="5" t="str">
        <x:f>IF('Transfers'!A91="","",'Transfers'!H91)</x:f>
      </x:c>
      <x:c r="L91" s="5" t="str">
        <x:f>IF('Transfers'!A91="","",'Transfers'!X91)</x:f>
      </x:c>
    </x:row>
    <x:row r="92" ht="24" customHeight="1">
      <x:c r="A92" s="5" t="str">
        <x:f>IF('Transfers'!A92="","","ethereum:"&amp;'Transfers'!M92)</x:f>
      </x:c>
      <x:c r="B92" s="5" t="str">
        <x:f>IF('Transfers'!A92="","","ethereum:"&amp;'Transfers'!N92)</x:f>
      </x:c>
      <x:c r="C92" s="5" t="str">
        <x:f>IF('Transfers'!A92="","","Directed")</x:f>
      </x:c>
      <x:c r="D92" s="5" t="str">
        <x:f>IF('Transfers'!A92="","",'Transfers'!A92)</x:f>
      </x:c>
      <x:c r="E92" s="5" t="str">
        <x:f>IF('Transfers'!A92="","",'Transfers'!G92&amp;" "&amp;'Transfers'!C92)</x:f>
      </x:c>
      <x:c r="F92" s="5" t="str">
        <x:f>IF('Transfers'!A92="","",'Transfers'!C92)</x:f>
      </x:c>
      <x:c r="G92" s="7" t="str">
        <x:f>IF('Transfers'!A92="","",'Transfers'!F92)</x:f>
      </x:c>
      <x:c r="H92" s="5" t="str">
        <x:f>IF('Transfers'!A92="","",'Transfers'!G92)</x:f>
      </x:c>
      <x:c r="I92" s="5" t="str">
        <x:f>IF('Transfers'!A92="","",'Transfers'!O92)</x:f>
      </x:c>
      <x:c r="J92" s="5" t="str">
        <x:f>IF('Transfers'!A92="","",'Transfers'!I92)</x:f>
      </x:c>
      <x:c r="K92" s="5" t="str">
        <x:f>IF('Transfers'!A92="","",'Transfers'!H92)</x:f>
      </x:c>
      <x:c r="L92" s="5" t="str">
        <x:f>IF('Transfers'!A92="","",'Transfers'!X92)</x:f>
      </x:c>
    </x:row>
    <x:row r="93" ht="24" customHeight="1">
      <x:c r="A93" s="5" t="str">
        <x:f>IF('Transfers'!A93="","","ethereum:"&amp;'Transfers'!M93)</x:f>
      </x:c>
      <x:c r="B93" s="5" t="str">
        <x:f>IF('Transfers'!A93="","","ethereum:"&amp;'Transfers'!N93)</x:f>
      </x:c>
      <x:c r="C93" s="5" t="str">
        <x:f>IF('Transfers'!A93="","","Directed")</x:f>
      </x:c>
      <x:c r="D93" s="5" t="str">
        <x:f>IF('Transfers'!A93="","",'Transfers'!A93)</x:f>
      </x:c>
      <x:c r="E93" s="5" t="str">
        <x:f>IF('Transfers'!A93="","",'Transfers'!G93&amp;" "&amp;'Transfers'!C93)</x:f>
      </x:c>
      <x:c r="F93" s="5" t="str">
        <x:f>IF('Transfers'!A93="","",'Transfers'!C93)</x:f>
      </x:c>
      <x:c r="G93" s="7" t="str">
        <x:f>IF('Transfers'!A93="","",'Transfers'!F93)</x:f>
      </x:c>
      <x:c r="H93" s="5" t="str">
        <x:f>IF('Transfers'!A93="","",'Transfers'!G93)</x:f>
      </x:c>
      <x:c r="I93" s="5" t="str">
        <x:f>IF('Transfers'!A93="","",'Transfers'!O93)</x:f>
      </x:c>
      <x:c r="J93" s="5" t="str">
        <x:f>IF('Transfers'!A93="","",'Transfers'!I93)</x:f>
      </x:c>
      <x:c r="K93" s="5" t="str">
        <x:f>IF('Transfers'!A93="","",'Transfers'!H93)</x:f>
      </x:c>
      <x:c r="L93" s="5" t="str">
        <x:f>IF('Transfers'!A93="","",'Transfers'!X93)</x:f>
      </x:c>
    </x:row>
    <x:row r="94" ht="24" customHeight="1">
      <x:c r="A94" s="5" t="str">
        <x:f>IF('Transfers'!A94="","","ethereum:"&amp;'Transfers'!M94)</x:f>
      </x:c>
      <x:c r="B94" s="5" t="str">
        <x:f>IF('Transfers'!A94="","","ethereum:"&amp;'Transfers'!N94)</x:f>
      </x:c>
      <x:c r="C94" s="5" t="str">
        <x:f>IF('Transfers'!A94="","","Directed")</x:f>
      </x:c>
      <x:c r="D94" s="5" t="str">
        <x:f>IF('Transfers'!A94="","",'Transfers'!A94)</x:f>
      </x:c>
      <x:c r="E94" s="5" t="str">
        <x:f>IF('Transfers'!A94="","",'Transfers'!G94&amp;" "&amp;'Transfers'!C94)</x:f>
      </x:c>
      <x:c r="F94" s="5" t="str">
        <x:f>IF('Transfers'!A94="","",'Transfers'!C94)</x:f>
      </x:c>
      <x:c r="G94" s="7" t="str">
        <x:f>IF('Transfers'!A94="","",'Transfers'!F94)</x:f>
      </x:c>
      <x:c r="H94" s="5" t="str">
        <x:f>IF('Transfers'!A94="","",'Transfers'!G94)</x:f>
      </x:c>
      <x:c r="I94" s="5" t="str">
        <x:f>IF('Transfers'!A94="","",'Transfers'!O94)</x:f>
      </x:c>
      <x:c r="J94" s="5" t="str">
        <x:f>IF('Transfers'!A94="","",'Transfers'!I94)</x:f>
      </x:c>
      <x:c r="K94" s="5" t="str">
        <x:f>IF('Transfers'!A94="","",'Transfers'!H94)</x:f>
      </x:c>
      <x:c r="L94" s="5" t="str">
        <x:f>IF('Transfers'!A94="","",'Transfers'!X94)</x:f>
      </x:c>
    </x:row>
    <x:row r="95" ht="24" customHeight="1">
      <x:c r="A95" s="5" t="str">
        <x:f>IF('Transfers'!A95="","","ethereum:"&amp;'Transfers'!M95)</x:f>
      </x:c>
      <x:c r="B95" s="5" t="str">
        <x:f>IF('Transfers'!A95="","","ethereum:"&amp;'Transfers'!N95)</x:f>
      </x:c>
      <x:c r="C95" s="5" t="str">
        <x:f>IF('Transfers'!A95="","","Directed")</x:f>
      </x:c>
      <x:c r="D95" s="5" t="str">
        <x:f>IF('Transfers'!A95="","",'Transfers'!A95)</x:f>
      </x:c>
      <x:c r="E95" s="5" t="str">
        <x:f>IF('Transfers'!A95="","",'Transfers'!G95&amp;" "&amp;'Transfers'!C95)</x:f>
      </x:c>
      <x:c r="F95" s="5" t="str">
        <x:f>IF('Transfers'!A95="","",'Transfers'!C95)</x:f>
      </x:c>
      <x:c r="G95" s="7" t="str">
        <x:f>IF('Transfers'!A95="","",'Transfers'!F95)</x:f>
      </x:c>
      <x:c r="H95" s="5" t="str">
        <x:f>IF('Transfers'!A95="","",'Transfers'!G95)</x:f>
      </x:c>
      <x:c r="I95" s="5" t="str">
        <x:f>IF('Transfers'!A95="","",'Transfers'!O95)</x:f>
      </x:c>
      <x:c r="J95" s="5" t="str">
        <x:f>IF('Transfers'!A95="","",'Transfers'!I95)</x:f>
      </x:c>
      <x:c r="K95" s="5" t="str">
        <x:f>IF('Transfers'!A95="","",'Transfers'!H95)</x:f>
      </x:c>
      <x:c r="L95" s="5" t="str">
        <x:f>IF('Transfers'!A95="","",'Transfers'!X95)</x:f>
      </x:c>
    </x:row>
    <x:row r="96" ht="24" customHeight="1">
      <x:c r="A96" s="5" t="str">
        <x:f>IF('Transfers'!A96="","","ethereum:"&amp;'Transfers'!M96)</x:f>
      </x:c>
      <x:c r="B96" s="5" t="str">
        <x:f>IF('Transfers'!A96="","","ethereum:"&amp;'Transfers'!N96)</x:f>
      </x:c>
      <x:c r="C96" s="5" t="str">
        <x:f>IF('Transfers'!A96="","","Directed")</x:f>
      </x:c>
      <x:c r="D96" s="5" t="str">
        <x:f>IF('Transfers'!A96="","",'Transfers'!A96)</x:f>
      </x:c>
      <x:c r="E96" s="5" t="str">
        <x:f>IF('Transfers'!A96="","",'Transfers'!G96&amp;" "&amp;'Transfers'!C96)</x:f>
      </x:c>
      <x:c r="F96" s="5" t="str">
        <x:f>IF('Transfers'!A96="","",'Transfers'!C96)</x:f>
      </x:c>
      <x:c r="G96" s="7" t="str">
        <x:f>IF('Transfers'!A96="","",'Transfers'!F96)</x:f>
      </x:c>
      <x:c r="H96" s="5" t="str">
        <x:f>IF('Transfers'!A96="","",'Transfers'!G96)</x:f>
      </x:c>
      <x:c r="I96" s="5" t="str">
        <x:f>IF('Transfers'!A96="","",'Transfers'!O96)</x:f>
      </x:c>
      <x:c r="J96" s="5" t="str">
        <x:f>IF('Transfers'!A96="","",'Transfers'!I96)</x:f>
      </x:c>
      <x:c r="K96" s="5" t="str">
        <x:f>IF('Transfers'!A96="","",'Transfers'!H96)</x:f>
      </x:c>
      <x:c r="L96" s="5" t="str">
        <x:f>IF('Transfers'!A96="","",'Transfers'!X96)</x:f>
      </x:c>
    </x:row>
    <x:row r="97" ht="24" customHeight="1">
      <x:c r="A97" s="5" t="str">
        <x:f>IF('Transfers'!A97="","","ethereum:"&amp;'Transfers'!M97)</x:f>
      </x:c>
      <x:c r="B97" s="5" t="str">
        <x:f>IF('Transfers'!A97="","","ethereum:"&amp;'Transfers'!N97)</x:f>
      </x:c>
      <x:c r="C97" s="5" t="str">
        <x:f>IF('Transfers'!A97="","","Directed")</x:f>
      </x:c>
      <x:c r="D97" s="5" t="str">
        <x:f>IF('Transfers'!A97="","",'Transfers'!A97)</x:f>
      </x:c>
      <x:c r="E97" s="5" t="str">
        <x:f>IF('Transfers'!A97="","",'Transfers'!G97&amp;" "&amp;'Transfers'!C97)</x:f>
      </x:c>
      <x:c r="F97" s="5" t="str">
        <x:f>IF('Transfers'!A97="","",'Transfers'!C97)</x:f>
      </x:c>
      <x:c r="G97" s="7" t="str">
        <x:f>IF('Transfers'!A97="","",'Transfers'!F97)</x:f>
      </x:c>
      <x:c r="H97" s="5" t="str">
        <x:f>IF('Transfers'!A97="","",'Transfers'!G97)</x:f>
      </x:c>
      <x:c r="I97" s="5" t="str">
        <x:f>IF('Transfers'!A97="","",'Transfers'!O97)</x:f>
      </x:c>
      <x:c r="J97" s="5" t="str">
        <x:f>IF('Transfers'!A97="","",'Transfers'!I97)</x:f>
      </x:c>
      <x:c r="K97" s="5" t="str">
        <x:f>IF('Transfers'!A97="","",'Transfers'!H97)</x:f>
      </x:c>
      <x:c r="L97" s="5" t="str">
        <x:f>IF('Transfers'!A97="","",'Transfers'!X97)</x:f>
      </x:c>
    </x:row>
    <x:row r="98" ht="24" customHeight="1">
      <x:c r="A98" s="5" t="str">
        <x:f>IF('Transfers'!A98="","","ethereum:"&amp;'Transfers'!M98)</x:f>
      </x:c>
      <x:c r="B98" s="5" t="str">
        <x:f>IF('Transfers'!A98="","","ethereum:"&amp;'Transfers'!N98)</x:f>
      </x:c>
      <x:c r="C98" s="5" t="str">
        <x:f>IF('Transfers'!A98="","","Directed")</x:f>
      </x:c>
      <x:c r="D98" s="5" t="str">
        <x:f>IF('Transfers'!A98="","",'Transfers'!A98)</x:f>
      </x:c>
      <x:c r="E98" s="5" t="str">
        <x:f>IF('Transfers'!A98="","",'Transfers'!G98&amp;" "&amp;'Transfers'!C98)</x:f>
      </x:c>
      <x:c r="F98" s="5" t="str">
        <x:f>IF('Transfers'!A98="","",'Transfers'!C98)</x:f>
      </x:c>
      <x:c r="G98" s="7" t="str">
        <x:f>IF('Transfers'!A98="","",'Transfers'!F98)</x:f>
      </x:c>
      <x:c r="H98" s="5" t="str">
        <x:f>IF('Transfers'!A98="","",'Transfers'!G98)</x:f>
      </x:c>
      <x:c r="I98" s="5" t="str">
        <x:f>IF('Transfers'!A98="","",'Transfers'!O98)</x:f>
      </x:c>
      <x:c r="J98" s="5" t="str">
        <x:f>IF('Transfers'!A98="","",'Transfers'!I98)</x:f>
      </x:c>
      <x:c r="K98" s="5" t="str">
        <x:f>IF('Transfers'!A98="","",'Transfers'!H98)</x:f>
      </x:c>
      <x:c r="L98" s="5" t="str">
        <x:f>IF('Transfers'!A98="","",'Transfers'!X98)</x:f>
      </x:c>
    </x:row>
    <x:row r="99" ht="24" customHeight="1">
      <x:c r="A99" s="5" t="str">
        <x:f>IF('Transfers'!A99="","","ethereum:"&amp;'Transfers'!M99)</x:f>
      </x:c>
      <x:c r="B99" s="5" t="str">
        <x:f>IF('Transfers'!A99="","","ethereum:"&amp;'Transfers'!N99)</x:f>
      </x:c>
      <x:c r="C99" s="5" t="str">
        <x:f>IF('Transfers'!A99="","","Directed")</x:f>
      </x:c>
      <x:c r="D99" s="5" t="str">
        <x:f>IF('Transfers'!A99="","",'Transfers'!A99)</x:f>
      </x:c>
      <x:c r="E99" s="5" t="str">
        <x:f>IF('Transfers'!A99="","",'Transfers'!G99&amp;" "&amp;'Transfers'!C99)</x:f>
      </x:c>
      <x:c r="F99" s="5" t="str">
        <x:f>IF('Transfers'!A99="","",'Transfers'!C99)</x:f>
      </x:c>
      <x:c r="G99" s="7" t="str">
        <x:f>IF('Transfers'!A99="","",'Transfers'!F99)</x:f>
      </x:c>
      <x:c r="H99" s="5" t="str">
        <x:f>IF('Transfers'!A99="","",'Transfers'!G99)</x:f>
      </x:c>
      <x:c r="I99" s="5" t="str">
        <x:f>IF('Transfers'!A99="","",'Transfers'!O99)</x:f>
      </x:c>
      <x:c r="J99" s="5" t="str">
        <x:f>IF('Transfers'!A99="","",'Transfers'!I99)</x:f>
      </x:c>
      <x:c r="K99" s="5" t="str">
        <x:f>IF('Transfers'!A99="","",'Transfers'!H99)</x:f>
      </x:c>
      <x:c r="L99" s="5" t="str">
        <x:f>IF('Transfers'!A99="","",'Transfers'!X99)</x:f>
      </x:c>
    </x:row>
    <x:row r="100" ht="24" customHeight="1">
      <x:c r="A100" s="5" t="str">
        <x:f>IF('Transfers'!A100="","","ethereum:"&amp;'Transfers'!M100)</x:f>
      </x:c>
      <x:c r="B100" s="5" t="str">
        <x:f>IF('Transfers'!A100="","","ethereum:"&amp;'Transfers'!N100)</x:f>
      </x:c>
      <x:c r="C100" s="5" t="str">
        <x:f>IF('Transfers'!A100="","","Directed")</x:f>
      </x:c>
      <x:c r="D100" s="5" t="str">
        <x:f>IF('Transfers'!A100="","",'Transfers'!A100)</x:f>
      </x:c>
      <x:c r="E100" s="5" t="str">
        <x:f>IF('Transfers'!A100="","",'Transfers'!G100&amp;" "&amp;'Transfers'!C100)</x:f>
      </x:c>
      <x:c r="F100" s="5" t="str">
        <x:f>IF('Transfers'!A100="","",'Transfers'!C100)</x:f>
      </x:c>
      <x:c r="G100" s="7" t="str">
        <x:f>IF('Transfers'!A100="","",'Transfers'!F100)</x:f>
      </x:c>
      <x:c r="H100" s="5" t="str">
        <x:f>IF('Transfers'!A100="","",'Transfers'!G100)</x:f>
      </x:c>
      <x:c r="I100" s="5" t="str">
        <x:f>IF('Transfers'!A100="","",'Transfers'!O100)</x:f>
      </x:c>
      <x:c r="J100" s="5" t="str">
        <x:f>IF('Transfers'!A100="","",'Transfers'!I100)</x:f>
      </x:c>
      <x:c r="K100" s="5" t="str">
        <x:f>IF('Transfers'!A100="","",'Transfers'!H100)</x:f>
      </x:c>
      <x:c r="L100" s="5" t="str">
        <x:f>IF('Transfers'!A100="","",'Transfers'!X100)</x:f>
      </x:c>
    </x:row>
    <x:row r="101" ht="24" customHeight="1">
      <x:c r="A101" s="5" t="str">
        <x:f>IF('Transfers'!A101="","","ethereum:"&amp;'Transfers'!M101)</x:f>
      </x:c>
      <x:c r="B101" s="5" t="str">
        <x:f>IF('Transfers'!A101="","","ethereum:"&amp;'Transfers'!N101)</x:f>
      </x:c>
      <x:c r="C101" s="5" t="str">
        <x:f>IF('Transfers'!A101="","","Directed")</x:f>
      </x:c>
      <x:c r="D101" s="5" t="str">
        <x:f>IF('Transfers'!A101="","",'Transfers'!A101)</x:f>
      </x:c>
      <x:c r="E101" s="5" t="str">
        <x:f>IF('Transfers'!A101="","",'Transfers'!G101&amp;" "&amp;'Transfers'!C101)</x:f>
      </x:c>
      <x:c r="F101" s="5" t="str">
        <x:f>IF('Transfers'!A101="","",'Transfers'!C101)</x:f>
      </x:c>
      <x:c r="G101" s="7" t="str">
        <x:f>IF('Transfers'!A101="","",'Transfers'!F101)</x:f>
      </x:c>
      <x:c r="H101" s="5" t="str">
        <x:f>IF('Transfers'!A101="","",'Transfers'!G101)</x:f>
      </x:c>
      <x:c r="I101" s="5" t="str">
        <x:f>IF('Transfers'!A101="","",'Transfers'!O101)</x:f>
      </x:c>
      <x:c r="J101" s="5" t="str">
        <x:f>IF('Transfers'!A101="","",'Transfers'!I101)</x:f>
      </x:c>
      <x:c r="K101" s="5" t="str">
        <x:f>IF('Transfers'!A101="","",'Transfers'!H101)</x:f>
      </x:c>
      <x:c r="L101" s="5" t="str">
        <x:f>IF('Transfers'!A101="","",'Transfers'!X101)</x:f>
      </x:c>
    </x:row>
    <x:row r="102" ht="24" customHeight="1">
      <x:c r="A102" s="5" t="str">
        <x:f>IF('Transfers'!A102="","","ethereum:"&amp;'Transfers'!M102)</x:f>
      </x:c>
      <x:c r="B102" s="5" t="str">
        <x:f>IF('Transfers'!A102="","","ethereum:"&amp;'Transfers'!N102)</x:f>
      </x:c>
      <x:c r="C102" s="5" t="str">
        <x:f>IF('Transfers'!A102="","","Directed")</x:f>
      </x:c>
      <x:c r="D102" s="5" t="str">
        <x:f>IF('Transfers'!A102="","",'Transfers'!A102)</x:f>
      </x:c>
      <x:c r="E102" s="5" t="str">
        <x:f>IF('Transfers'!A102="","",'Transfers'!G102&amp;" "&amp;'Transfers'!C102)</x:f>
      </x:c>
      <x:c r="F102" s="5" t="str">
        <x:f>IF('Transfers'!A102="","",'Transfers'!C102)</x:f>
      </x:c>
      <x:c r="G102" s="7" t="str">
        <x:f>IF('Transfers'!A102="","",'Transfers'!F102)</x:f>
      </x:c>
      <x:c r="H102" s="5" t="str">
        <x:f>IF('Transfers'!A102="","",'Transfers'!G102)</x:f>
      </x:c>
      <x:c r="I102" s="5" t="str">
        <x:f>IF('Transfers'!A102="","",'Transfers'!O102)</x:f>
      </x:c>
      <x:c r="J102" s="5" t="str">
        <x:f>IF('Transfers'!A102="","",'Transfers'!I102)</x:f>
      </x:c>
      <x:c r="K102" s="5" t="str">
        <x:f>IF('Transfers'!A102="","",'Transfers'!H102)</x:f>
      </x:c>
      <x:c r="L102" s="5" t="str">
        <x:f>IF('Transfers'!A102="","",'Transfers'!X102)</x:f>
      </x:c>
    </x:row>
    <x:row r="103" ht="24" customHeight="1">
      <x:c r="A103" s="5" t="str">
        <x:f>IF('Transfers'!A103="","","ethereum:"&amp;'Transfers'!M103)</x:f>
      </x:c>
      <x:c r="B103" s="5" t="str">
        <x:f>IF('Transfers'!A103="","","ethereum:"&amp;'Transfers'!N103)</x:f>
      </x:c>
      <x:c r="C103" s="5" t="str">
        <x:f>IF('Transfers'!A103="","","Directed")</x:f>
      </x:c>
      <x:c r="D103" s="5" t="str">
        <x:f>IF('Transfers'!A103="","",'Transfers'!A103)</x:f>
      </x:c>
      <x:c r="E103" s="5" t="str">
        <x:f>IF('Transfers'!A103="","",'Transfers'!G103&amp;" "&amp;'Transfers'!C103)</x:f>
      </x:c>
      <x:c r="F103" s="5" t="str">
        <x:f>IF('Transfers'!A103="","",'Transfers'!C103)</x:f>
      </x:c>
      <x:c r="G103" s="7" t="str">
        <x:f>IF('Transfers'!A103="","",'Transfers'!F103)</x:f>
      </x:c>
      <x:c r="H103" s="5" t="str">
        <x:f>IF('Transfers'!A103="","",'Transfers'!G103)</x:f>
      </x:c>
      <x:c r="I103" s="5" t="str">
        <x:f>IF('Transfers'!A103="","",'Transfers'!O103)</x:f>
      </x:c>
      <x:c r="J103" s="5" t="str">
        <x:f>IF('Transfers'!A103="","",'Transfers'!I103)</x:f>
      </x:c>
      <x:c r="K103" s="5" t="str">
        <x:f>IF('Transfers'!A103="","",'Transfers'!H103)</x:f>
      </x:c>
      <x:c r="L103" s="5" t="str">
        <x:f>IF('Transfers'!A103="","",'Transfers'!X103)</x:f>
      </x:c>
    </x:row>
    <x:row r="104" ht="24" customHeight="1">
      <x:c r="A104" s="5" t="str">
        <x:f>IF('Transfers'!A104="","","ethereum:"&amp;'Transfers'!M104)</x:f>
      </x:c>
      <x:c r="B104" s="5" t="str">
        <x:f>IF('Transfers'!A104="","","ethereum:"&amp;'Transfers'!N104)</x:f>
      </x:c>
      <x:c r="C104" s="5" t="str">
        <x:f>IF('Transfers'!A104="","","Directed")</x:f>
      </x:c>
      <x:c r="D104" s="5" t="str">
        <x:f>IF('Transfers'!A104="","",'Transfers'!A104)</x:f>
      </x:c>
      <x:c r="E104" s="5" t="str">
        <x:f>IF('Transfers'!A104="","",'Transfers'!G104&amp;" "&amp;'Transfers'!C104)</x:f>
      </x:c>
      <x:c r="F104" s="5" t="str">
        <x:f>IF('Transfers'!A104="","",'Transfers'!C104)</x:f>
      </x:c>
      <x:c r="G104" s="7" t="str">
        <x:f>IF('Transfers'!A104="","",'Transfers'!F104)</x:f>
      </x:c>
      <x:c r="H104" s="5" t="str">
        <x:f>IF('Transfers'!A104="","",'Transfers'!G104)</x:f>
      </x:c>
      <x:c r="I104" s="5" t="str">
        <x:f>IF('Transfers'!A104="","",'Transfers'!O104)</x:f>
      </x:c>
      <x:c r="J104" s="5" t="str">
        <x:f>IF('Transfers'!A104="","",'Transfers'!I104)</x:f>
      </x:c>
      <x:c r="K104" s="5" t="str">
        <x:f>IF('Transfers'!A104="","",'Transfers'!H104)</x:f>
      </x:c>
      <x:c r="L104" s="5" t="str">
        <x:f>IF('Transfers'!A104="","",'Transfers'!X104)</x:f>
      </x:c>
    </x:row>
    <x:row r="105" ht="24" customHeight="1">
      <x:c r="A105" s="5" t="str">
        <x:f>IF('Transfers'!A105="","","ethereum:"&amp;'Transfers'!M105)</x:f>
      </x:c>
      <x:c r="B105" s="5" t="str">
        <x:f>IF('Transfers'!A105="","","ethereum:"&amp;'Transfers'!N105)</x:f>
      </x:c>
      <x:c r="C105" s="5" t="str">
        <x:f>IF('Transfers'!A105="","","Directed")</x:f>
      </x:c>
      <x:c r="D105" s="5" t="str">
        <x:f>IF('Transfers'!A105="","",'Transfers'!A105)</x:f>
      </x:c>
      <x:c r="E105" s="5" t="str">
        <x:f>IF('Transfers'!A105="","",'Transfers'!G105&amp;" "&amp;'Transfers'!C105)</x:f>
      </x:c>
      <x:c r="F105" s="5" t="str">
        <x:f>IF('Transfers'!A105="","",'Transfers'!C105)</x:f>
      </x:c>
      <x:c r="G105" s="7" t="str">
        <x:f>IF('Transfers'!A105="","",'Transfers'!F105)</x:f>
      </x:c>
      <x:c r="H105" s="5" t="str">
        <x:f>IF('Transfers'!A105="","",'Transfers'!G105)</x:f>
      </x:c>
      <x:c r="I105" s="5" t="str">
        <x:f>IF('Transfers'!A105="","",'Transfers'!O105)</x:f>
      </x:c>
      <x:c r="J105" s="5" t="str">
        <x:f>IF('Transfers'!A105="","",'Transfers'!I105)</x:f>
      </x:c>
      <x:c r="K105" s="5" t="str">
        <x:f>IF('Transfers'!A105="","",'Transfers'!H105)</x:f>
      </x:c>
      <x:c r="L105" s="5" t="str">
        <x:f>IF('Transfers'!A105="","",'Transfers'!X105)</x:f>
      </x:c>
    </x:row>
  </x:sheetData>
  <x:pageMargins left="0.7" right="0.7" top="0.75" bottom="0.75" header="0.3" footer="0.3"/>
  <x:tableParts count="1">
    <x:tablePart xmlns:r="http://schemas.openxmlformats.org/officeDocument/2006/relationships" r:id="R80f6283120f8481c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56" hidden="0" customWidth="1"/>
    <x:col min="2" max="2" width="39" hidden="0" customWidth="1"/>
    <x:col min="3" max="3" width="46" hidden="0" customWidth="1"/>
    <x:col min="4" max="4" width="14" hidden="0" customWidth="1"/>
    <x:col min="5" max="5" width="39" hidden="0" customWidth="1"/>
    <x:col min="6" max="6" width="61" hidden="0" customWidth="1"/>
    <x:col min="7" max="7" width="85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</x:row>
    <x:row r="2" ht="24" customHeight="1">
      <x:c r="A2" s="3" t="str">
        <x:v>Wallet register</x:v>
      </x:c>
      <x:c r="B2" s="2"/>
      <x:c r="C2" s="2"/>
      <x:c r="D2" s="2"/>
      <x:c r="E2" s="2"/>
      <x:c r="F2" s="2"/>
      <x:c r="G2" s="2"/>
    </x:row>
    <x:row r="3" ht="24" customHeight="1">
      <x:c r="A3" s="4" t="str">
        <x:v>Full addresses identify graph nodes. Explorer labels do not prove who controls a wallet.</x:v>
      </x:c>
      <x:c r="B3" s="2"/>
      <x:c r="C3" s="2"/>
      <x:c r="D3" s="2"/>
      <x:c r="E3" s="2"/>
      <x:c r="F3" s="2"/>
      <x:c r="G3" s="2"/>
    </x:row>
    <x:row r="4" ht="24" customHeight="1">
      <x:c r="A4" s="2"/>
      <x:c r="B4" s="2"/>
      <x:c r="C4" s="2"/>
      <x:c r="D4" s="2"/>
      <x:c r="E4" s="2"/>
      <x:c r="F4" s="2"/>
      <x:c r="G4" s="2"/>
    </x:row>
    <x:row r="5" ht="34" customHeight="1">
      <x:c r="A5" s="12" t="str">
        <x:v>Id</x:v>
      </x:c>
      <x:c r="B5" s="12" t="str">
        <x:v>Label</x:v>
      </x:c>
      <x:c r="C5" s="12" t="str">
        <x:v>Address</x:v>
      </x:c>
      <x:c r="D5" s="12" t="str">
        <x:v>Chain</x:v>
      </x:c>
      <x:c r="E5" s="12" t="str">
        <x:v>Role</x:v>
      </x:c>
      <x:c r="F5" s="12" t="str">
        <x:v>Attribution basis</x:v>
      </x:c>
      <x:c r="G5" s="12" t="str">
        <x:v>Source</x:v>
      </x:c>
    </x:row>
    <x:row r="6" ht="24" customHeight="1">
      <x:c r="A6" s="5" t="str">
        <x:v>ethereum:0x28c6c06298d514db089934071355e5743bf21d60</x:v>
      </x:c>
      <x:c r="B6" s="5" t="str">
        <x:v>Binance 14 (explorer label)</x:v>
      </x:c>
      <x:c r="C6" s="5" t="str">
        <x:v>0x28c6c06298d514db089934071355e5743bf21d60</x:v>
      </x:c>
      <x:c r="D6" s="5" t="str">
        <x:v>Ethereum</x:v>
      </x:c>
      <x:c r="E6" s="5" t="str">
        <x:v>Binance 14 (explorer label)</x:v>
      </x:c>
      <x:c r="F6" s="5" t="str">
        <x:v>Explorer label, not independent ownership proof</x:v>
      </x:c>
      <x:c r="G6" s="5" t="str">
        <x:v>https://etherscan.io/address/0x28c6c06298d514db089934071355e5743bf21d60</x:v>
      </x:c>
    </x:row>
    <x:row r="7" ht="24" customHeight="1">
      <x:c r="A7" s="5" t="str">
        <x:v>ethereum:0xdfd5293d8e347dfe59e90efd55b2956a1343963d</x:v>
      </x:c>
      <x:c r="B7" s="5" t="str">
        <x:v>Binance 16 (explorer label)</x:v>
      </x:c>
      <x:c r="C7" s="5" t="str">
        <x:v>0xdfd5293d8e347dfe59e90efd55b2956a1343963d</x:v>
      </x:c>
      <x:c r="D7" s="5" t="str">
        <x:v>Ethereum</x:v>
      </x:c>
      <x:c r="E7" s="5" t="str">
        <x:v>Binance 16 (explorer label)</x:v>
      </x:c>
      <x:c r="F7" s="5" t="str">
        <x:v>Explorer label, not independent ownership proof</x:v>
      </x:c>
      <x:c r="G7" s="5" t="str">
        <x:v>https://etherscan.io/address/0xdfd5293d8e347dfe59e90efd55b2956a1343963d</x:v>
      </x:c>
    </x:row>
    <x:row r="8" ht="24" customHeight="1">
      <x:c r="A8" s="5" t="str">
        <x:v>ethereum:0xee7ae85f2fe2239e27d9c1e23fffe168d63b4055</x:v>
      </x:c>
      <x:c r="B8" s="5" t="str">
        <x:v>Binance Hot Wallet 34 (explorer label)</x:v>
      </x:c>
      <x:c r="C8" s="5" t="str">
        <x:v>0xee7ae85f2fe2239e27d9c1e23fffe168d63b4055</x:v>
      </x:c>
      <x:c r="D8" s="5" t="str">
        <x:v>Ethereum</x:v>
      </x:c>
      <x:c r="E8" s="5" t="str">
        <x:v>Binance Hot Wallet 34 (explorer label)</x:v>
      </x:c>
      <x:c r="F8" s="5" t="str">
        <x:v>Explorer label, not independent ownership proof</x:v>
      </x:c>
      <x:c r="G8" s="5" t="str">
        <x:v>https://etherscan.io/address/0xee7ae85f2fe2239e27d9c1e23fffe168d63b4055</x:v>
      </x:c>
    </x:row>
    <x:row r="9" ht="24" customHeight="1">
      <x:c r="A9" s="5" t="str">
        <x:v>ethereum:0x5227f603c1ee34ce3c06efe6477003bdfccb2f8c</x:v>
      </x:c>
      <x:c r="B9" s="5" t="str">
        <x:v>Primary receiver</x:v>
      </x:c>
      <x:c r="C9" s="5" t="str">
        <x:v>0x5227f603c1ee34ce3c06efe6477003bdfccb2f8c</x:v>
      </x:c>
      <x:c r="D9" s="5" t="str">
        <x:v>Ethereum</x:v>
      </x:c>
      <x:c r="E9" s="5" t="str">
        <x:v>Primary receiver</x:v>
      </x:c>
      <x:c r="F9" s="5" t="str">
        <x:v>Transaction role only</x:v>
      </x:c>
      <x:c r="G9" s="5" t="str">
        <x:v>https://etherscan.io/address/0x5227f603c1ee34ce3c06efe6477003bdfccb2f8c</x:v>
      </x:c>
    </x:row>
    <x:row r="10" ht="24" customHeight="1">
      <x:c r="A10" s="5" t="str">
        <x:v>ethereum:0x8532fa14acaf483729c449b8458aeddb900543d4</x:v>
      </x:c>
      <x:c r="B10" s="5" t="str">
        <x:v>ETH onward receiver</x:v>
      </x:c>
      <x:c r="C10" s="5" t="str">
        <x:v>0x8532fa14acaf483729c449b8458aeddb900543d4</x:v>
      </x:c>
      <x:c r="D10" s="5" t="str">
        <x:v>Ethereum</x:v>
      </x:c>
      <x:c r="E10" s="5" t="str">
        <x:v>ETH onward receiver</x:v>
      </x:c>
      <x:c r="F10" s="5" t="str">
        <x:v>Transaction role only</x:v>
      </x:c>
      <x:c r="G10" s="5" t="str">
        <x:v>https://etherscan.io/address/0x8532fa14acaf483729c449b8458aeddb900543d4</x:v>
      </x:c>
    </x:row>
    <x:row r="11" ht="24" customHeight="1">
      <x:c r="A11" s="5" t="str">
        <x:v>ethereum:0x7c8601d4645b93cea45f71e118a729332e6b5ca0</x:v>
      </x:c>
      <x:c r="B11" s="5" t="str">
        <x:v>Transaction operator</x:v>
      </x:c>
      <x:c r="C11" s="5" t="str">
        <x:v>0x7c8601d4645b93cea45f71e118a729332e6b5ca0</x:v>
      </x:c>
      <x:c r="D11" s="5" t="str">
        <x:v>Ethereum</x:v>
      </x:c>
      <x:c r="E11" s="5" t="str">
        <x:v>Transaction operator</x:v>
      </x:c>
      <x:c r="F11" s="5" t="str">
        <x:v>Transaction role only</x:v>
      </x:c>
      <x:c r="G11" s="5" t="str">
        <x:v>https://etherscan.io/address/0x7c8601d4645b93cea45f71e118a729332e6b5ca0</x:v>
      </x:c>
    </x:row>
    <x:row r="12" ht="24" customHeight="1">
      <x:c r="A12" s="5" t="str">
        <x:v>ethereum:0x63e842b054bd624a465454d533c33f573e9c6fae</x:v>
      </x:c>
      <x:c r="B12" s="5" t="str">
        <x:v>Delegation target</x:v>
      </x:c>
      <x:c r="C12" s="5" t="str">
        <x:v>0x63e842b054bd624a465454d533c33f573e9c6fae</x:v>
      </x:c>
      <x:c r="D12" s="5" t="str">
        <x:v>Ethereum</x:v>
      </x:c>
      <x:c r="E12" s="5" t="str">
        <x:v>Delegation target</x:v>
      </x:c>
      <x:c r="F12" s="5" t="str">
        <x:v>Transaction role only</x:v>
      </x:c>
      <x:c r="G12" s="5" t="str">
        <x:v>https://etherscan.io/address/0x63e842b054bd624a465454d533c33f573e9c6fae</x:v>
      </x:c>
    </x:row>
  </x:sheetData>
  <x:pageMargins left="0.7" right="0.7" top="0.75" bottom="0.75" header="0.3" footer="0.3"/>
  <x:tableParts count="1">
    <x:tablePart xmlns:r="http://schemas.openxmlformats.org/officeDocument/2006/relationships" r:id="Rfabf9b40485d40c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31" hidden="0" customWidth="1"/>
    <x:col min="5" max="5" width="24" hidden="0" customWidth="1"/>
    <x:col min="6" max="6" width="16" hidden="0" customWidth="1"/>
    <x:col min="7" max="7" width="30" hidden="0" customWidth="1"/>
    <x:col min="8" max="8" width="108" hidden="0" customWidth="1"/>
    <x:col min="9" max="9" width="100" hidden="0" customWidth="1"/>
    <x:col min="10" max="10" width="4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</x:row>
    <x:row r="2" ht="24" customHeight="1">
      <x:c r="A2" s="3" t="str">
        <x:v>Open leads and reported freezes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3" ht="24" customHeight="1">
      <x:c r="A3" s="4" t="str">
        <x:v>Reported amounts are research leads. They are excluded from the fund-flow graph and selected-transfer totals.</x:v>
      </x:c>
      <x:c r="B3" s="2"/>
      <x:c r="C3" s="2"/>
      <x:c r="D3" s="2"/>
      <x:c r="E3" s="2"/>
      <x:c r="F3" s="2"/>
      <x:c r="G3" s="2"/>
      <x:c r="H3" s="2"/>
      <x:c r="I3" s="2"/>
      <x:c r="J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</x:row>
    <x:row r="5" ht="34" customHeight="1">
      <x:c r="A5" s="12" t="str">
        <x:v>Lead ID</x:v>
      </x:c>
      <x:c r="B5" s="12" t="str">
        <x:v>Category</x:v>
      </x:c>
      <x:c r="C5" s="12" t="str">
        <x:v>Subject</x:v>
      </x:c>
      <x:c r="D5" s="12" t="str">
        <x:v>Evidence status</x:v>
      </x:c>
      <x:c r="E5" s="12" t="str">
        <x:v>Reported quantity</x:v>
      </x:c>
      <x:c r="F5" s="12" t="str">
        <x:v>Unit</x:v>
      </x:c>
      <x:c r="G5" s="12" t="str">
        <x:v>Related node</x:v>
      </x:c>
      <x:c r="H5" s="12" t="str">
        <x:v>Source</x:v>
      </x:c>
      <x:c r="I5" s="12" t="str">
        <x:v>Next verification step</x:v>
      </x:c>
      <x:c r="J5" s="12" t="str">
        <x:v>Your notes</x:v>
      </x:c>
    </x:row>
    <x:row r="6" ht="24" customHeight="1">
      <x:c r="A6" s="2" t="str">
        <x:v>L01</x:v>
      </x:c>
      <x:c r="B6" s="2" t="str">
        <x:v>Freeze</x:v>
      </x:c>
      <x:c r="C6" s="2" t="str">
        <x:v>USDT at primary receiver</x:v>
      </x:c>
      <x:c r="D6" s="15" t="str">
        <x:v>Reported; unverified here</x:v>
      </x:c>
      <x:c r="E6" s="14" t="n">
        <x:v>971000000</x:v>
      </x:c>
      <x:c r="F6" s="2" t="str">
        <x:v>USDT</x:v>
      </x:c>
      <x:c r="G6" s="2" t="str">
        <x:v>Primary receiver</x:v>
      </x:c>
      <x:c r="H6" s="2" t="str">
        <x:v>User-supplied screenshot (October 29, 2026)</x:v>
      </x:c>
      <x:c r="I6" s="2" t="str">
        <x:v>Locate addBlackList receipt and historical balance at freeze block. Do not treat as recovered.</x:v>
      </x:c>
      <x:c r="J6" s="15" t="str"/>
    </x:row>
    <x:row r="7" ht="24" customHeight="1">
      <x:c r="A7" s="2" t="str">
        <x:v>L02</x:v>
      </x:c>
      <x:c r="B7" s="2" t="str">
        <x:v>Freeze</x:v>
      </x:c>
      <x:c r="C7" s="2" t="str">
        <x:v>USDC at primary receiver</x:v>
      </x:c>
      <x:c r="D7" s="15" t="str">
        <x:v>Reported; unverified here</x:v>
      </x:c>
      <x:c r="E7" s="14" t="n">
        <x:v>823000000</x:v>
      </x:c>
      <x:c r="F7" s="2" t="str">
        <x:v>USDC</x:v>
      </x:c>
      <x:c r="G7" s="2" t="str">
        <x:v>Primary receiver</x:v>
      </x:c>
      <x:c r="H7" s="2" t="str">
        <x:v>User-supplied screenshot (October 29, 2026)</x:v>
      </x:c>
      <x:c r="I7" s="2" t="str">
        <x:v>Locate blacklist receipt; verify token, target and balance at that block.</x:v>
      </x:c>
      <x:c r="J7" s="15" t="str"/>
    </x:row>
    <x:row r="8" ht="24" customHeight="1">
      <x:c r="A8" s="2" t="str">
        <x:v>L03</x:v>
      </x:c>
      <x:c r="B8" s="2" t="str">
        <x:v>Reported aggregate</x:v>
      </x:c>
      <x:c r="C8" s="2" t="str">
        <x:v>Overall frozen amount</x:v>
      </x:c>
      <x:c r="D8" s="15" t="str">
        <x:v>Reported; unverified here</x:v>
      </x:c>
      <x:c r="E8" s="14" t="n">
        <x:v>2540000000</x:v>
      </x:c>
      <x:c r="F8" s="2" t="str">
        <x:v>USD reported</x:v>
      </x:c>
      <x:c r="G8" s="2" t="str">
        <x:v>Multiple chains / addresses</x:v>
      </x:c>
      <x:c r="H8" s="2" t="str">
        <x:v>https://www.reuters.com/legal/transactional/tether-circle-freeze-238-billion-after-binance-reports-security-incident-2026-10-29/</x:v>
      </x:c>
      <x:c r="I8" s="2" t="str">
        <x:v>Reconcile issuer/address totals and timestamps. Do not add this aggregate to L01/L02.</x:v>
      </x:c>
      <x:c r="J8" s="15" t="str"/>
    </x:row>
    <x:row r="9" ht="24" customHeight="1">
      <x:c r="A9" s="2" t="str">
        <x:v>L04</x:v>
      </x:c>
      <x:c r="B9" s="2" t="str">
        <x:v>Funding lead</x:v>
      </x:c>
      <x:c r="C9" s="2" t="str">
        <x:v>Tornado Cash to operator</x:v>
      </x:c>
      <x:c r="D9" s="15" t="str">
        <x:v>Reported; unverified here</x:v>
      </x:c>
      <x:c r="E9" s="14" t="n">
        <x:v>0.1</x:v>
      </x:c>
      <x:c r="F9" s="2" t="str">
        <x:v>ETH</x:v>
      </x:c>
      <x:c r="G9" s="2" t="str">
        <x:v>Transaction operator</x:v>
      </x:c>
      <x:c r="H9" s="2" t="str">
        <x:v>https://cryptoticker.io/en/binance-hack-hot-wallet-drained/</x:v>
      </x:c>
      <x:c r="I9" s="2" t="str">
        <x:v>Obtain exact withdrawal transaction and pool contract. No deposit-to-withdrawal linkage established.</x:v>
      </x:c>
      <x:c r="J9" s="15" t="str"/>
    </x:row>
    <x:row r="10" ht="24" customHeight="1">
      <x:c r="A10" s="2" t="str">
        <x:v>L05</x:v>
      </x:c>
      <x:c r="B10" s="2" t="str">
        <x:v>Downstream</x:v>
      </x:c>
      <x:c r="C10" s="2" t="str">
        <x:v>Trace ETH onward receiver</x:v>
      </x:c>
      <x:c r="D10" s="15" t="str">
        <x:v>Open</x:v>
      </x:c>
      <x:c r="E10" s="14"/>
      <x:c r="F10" s="2" t="str">
        <x:v>ETH</x:v>
      </x:c>
      <x:c r="G10" s="2" t="str">
        <x:v>ETH onward receiver</x:v>
      </x:c>
      <x:c r="H10" s="2" t="str">
        <x:v>https://etherscan.io/tx/0x551d7961652e6d9835b11988908adf86ebe480badb4ce2d7d52193b2b1b02c76</x:v>
      </x:c>
      <x:c r="I10" s="2" t="str">
        <x:v>Follow subsequent movements; bound commingling and avoid counting onward movement as new loss.</x:v>
      </x:c>
      <x:c r="J10" s="15" t="str"/>
    </x:row>
    <x:row r="11" ht="24" customHeight="1">
      <x:c r="A11" s="2" t="str">
        <x:v>L06</x:v>
      </x:c>
      <x:c r="B11" s="2" t="str">
        <x:v>Coverage</x:v>
      </x:c>
      <x:c r="C11" s="2" t="str">
        <x:v>Other sweep tokens and chains</x:v>
      </x:c>
      <x:c r="D11" s="15" t="str">
        <x:v>Open</x:v>
      </x:c>
      <x:c r="E11" s="14"/>
      <x:c r="F11" s="2" t="str">
        <x:v>Multiple</x:v>
      </x:c>
      <x:c r="G11" s="2" t="str">
        <x:v>Primary receiver</x:v>
      </x:c>
      <x:c r="H11" s="2" t="str">
        <x:v>https://etherscan.io/tx/0x53bd38b816c23e74134786c29a8c18d792777998a3b9326047b583100e88e2f3</x:v>
      </x:c>
      <x:c r="I11" s="2" t="str">
        <x:v>Complete token inventory, validate issuers and decimals, then expand to other chains.</x:v>
      </x:c>
      <x:c r="J11" s="15" t="str"/>
    </x:row>
    <x:row r="12" ht="24" customHeight="1">
      <x:c r="A12" s="2" t="str">
        <x:v>L07</x:v>
      </x:c>
      <x:c r="B12" s="2" t="str">
        <x:v>Root cause</x:v>
      </x:c>
      <x:c r="C12" s="2" t="str">
        <x:v>EIP-7702 authorization</x:v>
      </x:c>
      <x:c r="D12" s="15" t="str">
        <x:v>Partial: metadata checked</x:v>
      </x:c>
      <x:c r="E12" s="14"/>
      <x:c r="F12" s="2" t="str">
        <x:v>n.a.</x:v>
      </x:c>
      <x:c r="G12" s="2" t="str">
        <x:v>Delegation target</x:v>
      </x:c>
      <x:c r="H12" s="2" t="str">
        <x:v>https://eth.blockscout.com/api/v2/transactions/0xad99264d5532ae0dd04b2004eebda05f25657e70dacb764f7ac8d4ccd051298b</x:v>
      </x:c>
      <x:c r="I12" s="2" t="str">
        <x:v>Provider reports 50 authorizations: one ok, 49 invalid_nonce. Independently validate signatures and state; cause of signature access unknown.</x:v>
      </x:c>
      <x:c r="J12" s="15" t="str"/>
    </x:row>
    <x:row r="13" ht="24" customHeight="1">
      <x:c r="A13" s="2" t="str">
        <x:v>L08</x:v>
      </x:c>
      <x:c r="B13" s="2" t="str">
        <x:v>Attribution</x:v>
      </x:c>
      <x:c r="C13" s="2" t="str">
        <x:v>DPRK speculation</x:v>
      </x:c>
      <x:c r="D13" s="15" t="str">
        <x:v>Unsupported</x:v>
      </x:c>
      <x:c r="E13" s="14"/>
      <x:c r="F13" s="2" t="str">
        <x:v>n.a.</x:v>
      </x:c>
      <x:c r="G13" s="2" t="str">
        <x:v>Unknown actor</x:v>
      </x:c>
      <x:c r="H13" s="2" t="str">
        <x:v>User-supplied screenshot (October 29, 2026)</x:v>
      </x:c>
      <x:c r="I13" s="2" t="str">
        <x:v>No actor attribution established. Do not infer nationality from mixer exposure.</x:v>
      </x:c>
      <x:c r="J13" s="15" t="str"/>
    </x:row>
  </x:sheetData>
  <x:pageMargins left="0.7" right="0.7" top="0.75" bottom="0.75" header="0.3" footer="0.3"/>
  <x:tableParts count="1">
    <x:tablePart xmlns:r="http://schemas.openxmlformats.org/officeDocument/2006/relationships" r:id="R07ded9886f8f450a"/>
  </x:tableParts>
</x:worksheet>
</file>